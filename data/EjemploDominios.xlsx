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cuments\GB\MisCursos\Muestreo2026\data\"/>
    </mc:Choice>
  </mc:AlternateContent>
  <xr:revisionPtr revIDLastSave="0" documentId="13_ncr:1_{9F37F4F6-C852-4AE8-ABFF-09818D300B01}" xr6:coauthVersionLast="47" xr6:coauthVersionMax="47" xr10:uidLastSave="{00000000-0000-0000-0000-000000000000}"/>
  <bookViews>
    <workbookView xWindow="-110" yWindow="-110" windowWidth="19420" windowHeight="10300" xr2:uid="{42CC5FC2-8CC7-43C2-B7FE-203DEB835DFD}"/>
  </bookViews>
  <sheets>
    <sheet name="Hoja1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D16" i="1"/>
  <c r="E16" i="1"/>
  <c r="F16" i="1"/>
  <c r="G16" i="1"/>
  <c r="H16" i="1"/>
  <c r="C16" i="1"/>
  <c r="G14" i="1"/>
  <c r="F14" i="1"/>
  <c r="D14" i="1"/>
  <c r="C14" i="1"/>
  <c r="I13" i="1"/>
  <c r="I14" i="1" s="1"/>
  <c r="H13" i="1"/>
  <c r="H14" i="1" s="1"/>
  <c r="G13" i="1"/>
  <c r="F13" i="1"/>
  <c r="E13" i="1"/>
  <c r="E14" i="1" s="1"/>
  <c r="D13" i="1"/>
  <c r="C13" i="1"/>
  <c r="BD12" i="1"/>
  <c r="BE12" i="1"/>
  <c r="BF12" i="1"/>
  <c r="BG12" i="1"/>
  <c r="BH12" i="1"/>
  <c r="BI12" i="1"/>
  <c r="BJ12" i="1"/>
  <c r="BE2" i="1"/>
  <c r="BF2" i="1"/>
  <c r="BG2" i="1"/>
  <c r="BH2" i="1"/>
  <c r="BI2" i="1"/>
  <c r="BJ2" i="1"/>
  <c r="BE3" i="1"/>
  <c r="BF3" i="1"/>
  <c r="BG3" i="1"/>
  <c r="BH3" i="1"/>
  <c r="BI3" i="1"/>
  <c r="BJ3" i="1"/>
  <c r="BE4" i="1"/>
  <c r="BF4" i="1"/>
  <c r="BG4" i="1"/>
  <c r="BH4" i="1"/>
  <c r="BI4" i="1"/>
  <c r="BJ4" i="1"/>
  <c r="BE5" i="1"/>
  <c r="BF5" i="1"/>
  <c r="BG5" i="1"/>
  <c r="BH5" i="1"/>
  <c r="BI5" i="1"/>
  <c r="BJ5" i="1"/>
  <c r="BE6" i="1"/>
  <c r="BF6" i="1"/>
  <c r="BG6" i="1"/>
  <c r="BH6" i="1"/>
  <c r="BI6" i="1"/>
  <c r="BJ6" i="1"/>
  <c r="BE7" i="1"/>
  <c r="BF7" i="1"/>
  <c r="BG7" i="1"/>
  <c r="BH7" i="1"/>
  <c r="BI7" i="1"/>
  <c r="BJ7" i="1"/>
  <c r="BE8" i="1"/>
  <c r="BF8" i="1"/>
  <c r="BG8" i="1"/>
  <c r="BH8" i="1"/>
  <c r="BI8" i="1"/>
  <c r="BJ8" i="1"/>
  <c r="BE9" i="1"/>
  <c r="BF9" i="1"/>
  <c r="BG9" i="1"/>
  <c r="BH9" i="1"/>
  <c r="BI9" i="1"/>
  <c r="BJ9" i="1"/>
  <c r="BE10" i="1"/>
  <c r="BF10" i="1"/>
  <c r="BG10" i="1"/>
  <c r="BH10" i="1"/>
  <c r="BI10" i="1"/>
  <c r="BJ10" i="1"/>
  <c r="BE11" i="1"/>
  <c r="BF11" i="1"/>
  <c r="BG11" i="1"/>
  <c r="BH11" i="1"/>
  <c r="BI11" i="1"/>
  <c r="BJ11" i="1"/>
  <c r="BD3" i="1"/>
  <c r="BD4" i="1"/>
  <c r="BD5" i="1"/>
  <c r="BD6" i="1"/>
  <c r="BD7" i="1"/>
  <c r="BD8" i="1"/>
  <c r="BD9" i="1"/>
  <c r="BD10" i="1"/>
  <c r="BD11" i="1"/>
  <c r="BD2" i="1"/>
  <c r="BE1" i="1"/>
  <c r="BF1" i="1"/>
  <c r="BG1" i="1"/>
  <c r="BH1" i="1"/>
  <c r="BI1" i="1"/>
  <c r="BJ1" i="1"/>
  <c r="BD1" i="1"/>
  <c r="AV16" i="1"/>
  <c r="AU16" i="1"/>
  <c r="AT16" i="1"/>
  <c r="AS16" i="1"/>
  <c r="AR16" i="1"/>
  <c r="AQ16" i="1"/>
  <c r="AP16" i="1"/>
  <c r="AH16" i="1"/>
  <c r="AG16" i="1"/>
  <c r="AF16" i="1"/>
  <c r="AE16" i="1"/>
  <c r="AD16" i="1"/>
  <c r="AC16" i="1"/>
  <c r="AB16" i="1"/>
  <c r="O16" i="1"/>
  <c r="P16" i="1"/>
  <c r="Q16" i="1"/>
  <c r="R16" i="1"/>
  <c r="S16" i="1"/>
  <c r="T16" i="1"/>
  <c r="N16" i="1"/>
  <c r="U12" i="1"/>
  <c r="AV14" i="1"/>
  <c r="AU14" i="1"/>
  <c r="AT14" i="1"/>
  <c r="AS14" i="1"/>
  <c r="AR14" i="1"/>
  <c r="AQ14" i="1"/>
  <c r="AP14" i="1"/>
  <c r="AH14" i="1"/>
  <c r="AG14" i="1"/>
  <c r="AF14" i="1"/>
  <c r="AE14" i="1"/>
  <c r="AD14" i="1"/>
  <c r="AC14" i="1"/>
  <c r="AB14" i="1"/>
  <c r="O14" i="1"/>
  <c r="P14" i="1"/>
  <c r="Q14" i="1"/>
  <c r="R14" i="1"/>
  <c r="S14" i="1"/>
  <c r="T14" i="1"/>
  <c r="N14" i="1"/>
  <c r="M15" i="1"/>
  <c r="AS13" i="1"/>
  <c r="AV13" i="1"/>
  <c r="AU13" i="1"/>
  <c r="AT13" i="1"/>
  <c r="AR13" i="1"/>
  <c r="AQ13" i="1"/>
  <c r="AP13" i="1"/>
  <c r="AH13" i="1"/>
  <c r="AG13" i="1"/>
  <c r="AF13" i="1"/>
  <c r="AE13" i="1"/>
  <c r="AD13" i="1"/>
  <c r="AC13" i="1"/>
  <c r="AB13" i="1"/>
  <c r="O13" i="1"/>
  <c r="P13" i="1"/>
  <c r="Q13" i="1"/>
  <c r="R13" i="1"/>
  <c r="S13" i="1"/>
  <c r="T13" i="1"/>
  <c r="N13" i="1"/>
  <c r="AX12" i="1"/>
  <c r="AY12" i="1"/>
  <c r="AZ12" i="1"/>
  <c r="BA12" i="1"/>
  <c r="BB12" i="1"/>
  <c r="BC12" i="1"/>
  <c r="AW12" i="1"/>
  <c r="AW3" i="1"/>
  <c r="AX3" i="1"/>
  <c r="AY3" i="1"/>
  <c r="AZ3" i="1"/>
  <c r="BA3" i="1"/>
  <c r="BB3" i="1"/>
  <c r="BC3" i="1"/>
  <c r="AW4" i="1"/>
  <c r="AX4" i="1"/>
  <c r="AY4" i="1"/>
  <c r="AZ4" i="1"/>
  <c r="BA4" i="1"/>
  <c r="BB4" i="1"/>
  <c r="BC4" i="1"/>
  <c r="AW5" i="1"/>
  <c r="AX5" i="1"/>
  <c r="AY5" i="1"/>
  <c r="AZ5" i="1"/>
  <c r="BA5" i="1"/>
  <c r="BB5" i="1"/>
  <c r="BC5" i="1"/>
  <c r="AW6" i="1"/>
  <c r="AX6" i="1"/>
  <c r="AY6" i="1"/>
  <c r="AZ6" i="1"/>
  <c r="BA6" i="1"/>
  <c r="BB6" i="1"/>
  <c r="BC6" i="1"/>
  <c r="AW7" i="1"/>
  <c r="AX7" i="1"/>
  <c r="AY7" i="1"/>
  <c r="AZ7" i="1"/>
  <c r="BA7" i="1"/>
  <c r="BB7" i="1"/>
  <c r="BC7" i="1"/>
  <c r="AW8" i="1"/>
  <c r="AX8" i="1"/>
  <c r="AY8" i="1"/>
  <c r="AZ8" i="1"/>
  <c r="BA8" i="1"/>
  <c r="BB8" i="1"/>
  <c r="BC8" i="1"/>
  <c r="AW9" i="1"/>
  <c r="AX9" i="1"/>
  <c r="AY9" i="1"/>
  <c r="AZ9" i="1"/>
  <c r="BA9" i="1"/>
  <c r="BB9" i="1"/>
  <c r="BC9" i="1"/>
  <c r="AW10" i="1"/>
  <c r="AX10" i="1"/>
  <c r="AY10" i="1"/>
  <c r="AZ10" i="1"/>
  <c r="BA10" i="1"/>
  <c r="BB10" i="1"/>
  <c r="BC10" i="1"/>
  <c r="AW11" i="1"/>
  <c r="AX11" i="1"/>
  <c r="AY11" i="1"/>
  <c r="AZ11" i="1"/>
  <c r="BA11" i="1"/>
  <c r="BB11" i="1"/>
  <c r="BC11" i="1"/>
  <c r="AX2" i="1"/>
  <c r="AY2" i="1"/>
  <c r="AZ2" i="1"/>
  <c r="BA2" i="1"/>
  <c r="BB2" i="1"/>
  <c r="BC2" i="1"/>
  <c r="AW2" i="1"/>
  <c r="AX1" i="1"/>
  <c r="AY1" i="1"/>
  <c r="AZ1" i="1"/>
  <c r="BA1" i="1"/>
  <c r="BB1" i="1"/>
  <c r="BC1" i="1"/>
  <c r="AW1" i="1"/>
  <c r="AP3" i="1"/>
  <c r="AQ3" i="1"/>
  <c r="AR3" i="1"/>
  <c r="AS3" i="1"/>
  <c r="AT3" i="1"/>
  <c r="AU3" i="1"/>
  <c r="AV3" i="1"/>
  <c r="AP4" i="1"/>
  <c r="AQ4" i="1"/>
  <c r="AR4" i="1"/>
  <c r="AS4" i="1"/>
  <c r="AT4" i="1"/>
  <c r="AU4" i="1"/>
  <c r="AV4" i="1"/>
  <c r="AP5" i="1"/>
  <c r="AQ5" i="1"/>
  <c r="AR5" i="1"/>
  <c r="AS5" i="1"/>
  <c r="AT5" i="1"/>
  <c r="AU5" i="1"/>
  <c r="AV5" i="1"/>
  <c r="AP6" i="1"/>
  <c r="AQ6" i="1"/>
  <c r="AR6" i="1"/>
  <c r="AS6" i="1"/>
  <c r="AT6" i="1"/>
  <c r="AU6" i="1"/>
  <c r="AV6" i="1"/>
  <c r="AP7" i="1"/>
  <c r="AQ7" i="1"/>
  <c r="AR7" i="1"/>
  <c r="AS7" i="1"/>
  <c r="AT7" i="1"/>
  <c r="AU7" i="1"/>
  <c r="AV7" i="1"/>
  <c r="AP8" i="1"/>
  <c r="AQ8" i="1"/>
  <c r="AR8" i="1"/>
  <c r="AS8" i="1"/>
  <c r="AT8" i="1"/>
  <c r="AU8" i="1"/>
  <c r="AV8" i="1"/>
  <c r="AP9" i="1"/>
  <c r="AQ9" i="1"/>
  <c r="AR9" i="1"/>
  <c r="AS9" i="1"/>
  <c r="AT9" i="1"/>
  <c r="AU9" i="1"/>
  <c r="AV9" i="1"/>
  <c r="AP10" i="1"/>
  <c r="AQ10" i="1"/>
  <c r="AR10" i="1"/>
  <c r="AS10" i="1"/>
  <c r="AT10" i="1"/>
  <c r="AU10" i="1"/>
  <c r="AV10" i="1"/>
  <c r="AP11" i="1"/>
  <c r="AQ11" i="1"/>
  <c r="AR11" i="1"/>
  <c r="AS11" i="1"/>
  <c r="AT11" i="1"/>
  <c r="AU11" i="1"/>
  <c r="AV11" i="1"/>
  <c r="AQ2" i="1"/>
  <c r="AR2" i="1"/>
  <c r="AS2" i="1"/>
  <c r="AT2" i="1"/>
  <c r="AU2" i="1"/>
  <c r="AV2" i="1"/>
  <c r="AP2" i="1"/>
  <c r="AV1" i="1"/>
  <c r="AQ1" i="1"/>
  <c r="AR1" i="1"/>
  <c r="AS1" i="1"/>
  <c r="AT1" i="1"/>
  <c r="AU1" i="1"/>
  <c r="AP1" i="1"/>
  <c r="AJ12" i="1"/>
  <c r="AK12" i="1"/>
  <c r="AL12" i="1"/>
  <c r="AM12" i="1"/>
  <c r="AN12" i="1"/>
  <c r="AO12" i="1"/>
  <c r="AI12" i="1"/>
  <c r="AI3" i="1"/>
  <c r="AJ3" i="1"/>
  <c r="AK3" i="1"/>
  <c r="AL3" i="1"/>
  <c r="AM3" i="1"/>
  <c r="AN3" i="1"/>
  <c r="AO3" i="1"/>
  <c r="AI4" i="1"/>
  <c r="AJ4" i="1"/>
  <c r="AK4" i="1"/>
  <c r="AL4" i="1"/>
  <c r="AM4" i="1"/>
  <c r="AN4" i="1"/>
  <c r="AO4" i="1"/>
  <c r="AI5" i="1"/>
  <c r="AJ5" i="1"/>
  <c r="AK5" i="1"/>
  <c r="AL5" i="1"/>
  <c r="AM5" i="1"/>
  <c r="AN5" i="1"/>
  <c r="AO5" i="1"/>
  <c r="AI6" i="1"/>
  <c r="AJ6" i="1"/>
  <c r="AK6" i="1"/>
  <c r="AL6" i="1"/>
  <c r="AM6" i="1"/>
  <c r="AN6" i="1"/>
  <c r="AO6" i="1"/>
  <c r="AI7" i="1"/>
  <c r="AJ7" i="1"/>
  <c r="AK7" i="1"/>
  <c r="AL7" i="1"/>
  <c r="AM7" i="1"/>
  <c r="AN7" i="1"/>
  <c r="AO7" i="1"/>
  <c r="AI8" i="1"/>
  <c r="AJ8" i="1"/>
  <c r="AK8" i="1"/>
  <c r="AL8" i="1"/>
  <c r="AM8" i="1"/>
  <c r="AN8" i="1"/>
  <c r="AO8" i="1"/>
  <c r="AI9" i="1"/>
  <c r="AJ9" i="1"/>
  <c r="AK9" i="1"/>
  <c r="AL9" i="1"/>
  <c r="AM9" i="1"/>
  <c r="AN9" i="1"/>
  <c r="AO9" i="1"/>
  <c r="AI10" i="1"/>
  <c r="AJ10" i="1"/>
  <c r="AK10" i="1"/>
  <c r="AL10" i="1"/>
  <c r="AM10" i="1"/>
  <c r="AN10" i="1"/>
  <c r="AO10" i="1"/>
  <c r="AI11" i="1"/>
  <c r="AJ11" i="1"/>
  <c r="AK11" i="1"/>
  <c r="AL11" i="1"/>
  <c r="AM11" i="1"/>
  <c r="AN11" i="1"/>
  <c r="AO11" i="1"/>
  <c r="AJ2" i="1"/>
  <c r="AK2" i="1"/>
  <c r="AL2" i="1"/>
  <c r="AM2" i="1"/>
  <c r="AN2" i="1"/>
  <c r="AO2" i="1"/>
  <c r="AI2" i="1"/>
  <c r="AJ1" i="1"/>
  <c r="AK1" i="1"/>
  <c r="AL1" i="1"/>
  <c r="AM1" i="1"/>
  <c r="AN1" i="1"/>
  <c r="AO1" i="1"/>
  <c r="AI1" i="1"/>
  <c r="AB3" i="1"/>
  <c r="AC3" i="1"/>
  <c r="AD3" i="1"/>
  <c r="AE3" i="1"/>
  <c r="AF3" i="1"/>
  <c r="AG3" i="1"/>
  <c r="AH3" i="1"/>
  <c r="AB4" i="1"/>
  <c r="AC4" i="1"/>
  <c r="AD4" i="1"/>
  <c r="AE4" i="1"/>
  <c r="AF4" i="1"/>
  <c r="AG4" i="1"/>
  <c r="AH4" i="1"/>
  <c r="AB5" i="1"/>
  <c r="AC5" i="1"/>
  <c r="AD5" i="1"/>
  <c r="AE5" i="1"/>
  <c r="AF5" i="1"/>
  <c r="AG5" i="1"/>
  <c r="AH5" i="1"/>
  <c r="AB6" i="1"/>
  <c r="AC6" i="1"/>
  <c r="AD6" i="1"/>
  <c r="AE6" i="1"/>
  <c r="AF6" i="1"/>
  <c r="AG6" i="1"/>
  <c r="AH6" i="1"/>
  <c r="AB7" i="1"/>
  <c r="AC7" i="1"/>
  <c r="AD7" i="1"/>
  <c r="AE7" i="1"/>
  <c r="AF7" i="1"/>
  <c r="AG7" i="1"/>
  <c r="AH7" i="1"/>
  <c r="AB8" i="1"/>
  <c r="AC8" i="1"/>
  <c r="AD8" i="1"/>
  <c r="AE8" i="1"/>
  <c r="AF8" i="1"/>
  <c r="AG8" i="1"/>
  <c r="AH8" i="1"/>
  <c r="AB9" i="1"/>
  <c r="AC9" i="1"/>
  <c r="AD9" i="1"/>
  <c r="AE9" i="1"/>
  <c r="AF9" i="1"/>
  <c r="AG9" i="1"/>
  <c r="AH9" i="1"/>
  <c r="AB10" i="1"/>
  <c r="AC10" i="1"/>
  <c r="AD10" i="1"/>
  <c r="AE10" i="1"/>
  <c r="AF10" i="1"/>
  <c r="AG10" i="1"/>
  <c r="AH10" i="1"/>
  <c r="AB11" i="1"/>
  <c r="AC11" i="1"/>
  <c r="AD11" i="1"/>
  <c r="AE11" i="1"/>
  <c r="AF11" i="1"/>
  <c r="AG11" i="1"/>
  <c r="AH11" i="1"/>
  <c r="AC2" i="1"/>
  <c r="AD2" i="1"/>
  <c r="AE2" i="1"/>
  <c r="AF2" i="1"/>
  <c r="AG2" i="1"/>
  <c r="AH2" i="1"/>
  <c r="AB2" i="1"/>
  <c r="AC1" i="1"/>
  <c r="AD1" i="1"/>
  <c r="AE1" i="1"/>
  <c r="AF1" i="1"/>
  <c r="AG1" i="1"/>
  <c r="AH1" i="1"/>
  <c r="AB1" i="1"/>
  <c r="V12" i="1"/>
  <c r="W12" i="1"/>
  <c r="X12" i="1"/>
  <c r="Y12" i="1"/>
  <c r="Z12" i="1"/>
  <c r="AA12" i="1"/>
  <c r="V3" i="1"/>
  <c r="W3" i="1"/>
  <c r="X3" i="1"/>
  <c r="V4" i="1"/>
  <c r="W4" i="1"/>
  <c r="X4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Y3" i="1"/>
  <c r="Y4" i="1"/>
  <c r="Y5" i="1"/>
  <c r="Y6" i="1"/>
  <c r="Y7" i="1"/>
  <c r="Y8" i="1"/>
  <c r="Y9" i="1"/>
  <c r="Y10" i="1"/>
  <c r="Y11" i="1"/>
  <c r="Z3" i="1"/>
  <c r="Z4" i="1"/>
  <c r="Z5" i="1"/>
  <c r="Z6" i="1"/>
  <c r="Z7" i="1"/>
  <c r="Z8" i="1"/>
  <c r="Z9" i="1"/>
  <c r="Z10" i="1"/>
  <c r="Z11" i="1"/>
  <c r="AA3" i="1"/>
  <c r="AA4" i="1"/>
  <c r="AA5" i="1"/>
  <c r="AA6" i="1"/>
  <c r="AA7" i="1"/>
  <c r="AA8" i="1"/>
  <c r="AA9" i="1"/>
  <c r="AA10" i="1"/>
  <c r="AA11" i="1"/>
  <c r="V2" i="1"/>
  <c r="W2" i="1"/>
  <c r="X2" i="1"/>
  <c r="Y2" i="1"/>
  <c r="Z2" i="1"/>
  <c r="AA2" i="1"/>
  <c r="AA1" i="1"/>
  <c r="V1" i="1"/>
  <c r="W1" i="1"/>
  <c r="X1" i="1"/>
  <c r="Y1" i="1"/>
  <c r="Z1" i="1"/>
  <c r="T3" i="1"/>
  <c r="T4" i="1"/>
  <c r="T5" i="1"/>
  <c r="T6" i="1"/>
  <c r="T7" i="1"/>
  <c r="T8" i="1"/>
  <c r="T9" i="1"/>
  <c r="T10" i="1"/>
  <c r="T11" i="1"/>
  <c r="S2" i="1"/>
  <c r="T2" i="1"/>
  <c r="U10" i="1"/>
  <c r="I3" i="1"/>
  <c r="I4" i="1"/>
  <c r="I5" i="1"/>
  <c r="I6" i="1"/>
  <c r="I7" i="1"/>
  <c r="I8" i="1"/>
  <c r="I9" i="1"/>
  <c r="I10" i="1"/>
  <c r="I11" i="1"/>
  <c r="I2" i="1"/>
  <c r="J3" i="1"/>
  <c r="J4" i="1"/>
  <c r="J5" i="1"/>
  <c r="J6" i="1"/>
  <c r="J7" i="1"/>
  <c r="J8" i="1"/>
  <c r="J9" i="1"/>
  <c r="J10" i="1"/>
  <c r="J11" i="1"/>
  <c r="J2" i="1"/>
  <c r="S5" i="1"/>
  <c r="O1" i="1"/>
  <c r="P1" i="1"/>
  <c r="Q1" i="1"/>
  <c r="R1" i="1"/>
  <c r="S1" i="1"/>
  <c r="N1" i="1"/>
  <c r="U1" i="1" s="1"/>
  <c r="M3" i="1"/>
  <c r="M4" i="1"/>
  <c r="M5" i="1"/>
  <c r="M6" i="1"/>
  <c r="M7" i="1"/>
  <c r="M8" i="1"/>
  <c r="M9" i="1"/>
  <c r="M10" i="1"/>
  <c r="M11" i="1"/>
  <c r="L3" i="1"/>
  <c r="L4" i="1"/>
  <c r="L5" i="1"/>
  <c r="L6" i="1"/>
  <c r="L7" i="1"/>
  <c r="L8" i="1"/>
  <c r="L9" i="1"/>
  <c r="L10" i="1"/>
  <c r="L11" i="1"/>
  <c r="K3" i="1"/>
  <c r="N3" i="1" s="1"/>
  <c r="U3" i="1" s="1"/>
  <c r="K4" i="1"/>
  <c r="O4" i="1" s="1"/>
  <c r="K5" i="1"/>
  <c r="Q5" i="1" s="1"/>
  <c r="K6" i="1"/>
  <c r="N6" i="1" s="1"/>
  <c r="U6" i="1" s="1"/>
  <c r="K7" i="1"/>
  <c r="N7" i="1" s="1"/>
  <c r="U7" i="1" s="1"/>
  <c r="K8" i="1"/>
  <c r="P8" i="1" s="1"/>
  <c r="K9" i="1"/>
  <c r="R9" i="1" s="1"/>
  <c r="K10" i="1"/>
  <c r="N10" i="1" s="1"/>
  <c r="K11" i="1"/>
  <c r="N11" i="1" s="1"/>
  <c r="U11" i="1" s="1"/>
  <c r="M2" i="1"/>
  <c r="L2" i="1"/>
  <c r="K2" i="1"/>
  <c r="Q2" i="1" s="1"/>
  <c r="Q10" i="1" l="1"/>
  <c r="S9" i="1"/>
  <c r="O9" i="1"/>
  <c r="O7" i="1"/>
  <c r="P10" i="1"/>
  <c r="Q6" i="1"/>
  <c r="N9" i="1"/>
  <c r="U9" i="1" s="1"/>
  <c r="N5" i="1"/>
  <c r="U5" i="1" s="1"/>
  <c r="S7" i="1"/>
  <c r="S4" i="1"/>
  <c r="P6" i="1"/>
  <c r="R2" i="1"/>
  <c r="R7" i="1"/>
  <c r="R11" i="1"/>
  <c r="Q7" i="1"/>
  <c r="P2" i="1"/>
  <c r="S10" i="1"/>
  <c r="Q9" i="1"/>
  <c r="O8" i="1"/>
  <c r="S6" i="1"/>
  <c r="P5" i="1"/>
  <c r="N4" i="1"/>
  <c r="U4" i="1" s="1"/>
  <c r="O2" i="1"/>
  <c r="R10" i="1"/>
  <c r="P9" i="1"/>
  <c r="N8" i="1"/>
  <c r="U8" i="1" s="1"/>
  <c r="R6" i="1"/>
  <c r="O5" i="1"/>
  <c r="S3" i="1"/>
  <c r="S11" i="1"/>
  <c r="R3" i="1"/>
  <c r="Q3" i="1"/>
  <c r="N2" i="1"/>
  <c r="U2" i="1" s="1"/>
  <c r="Q11" i="1"/>
  <c r="O10" i="1"/>
  <c r="S8" i="1"/>
  <c r="O6" i="1"/>
  <c r="R4" i="1"/>
  <c r="P3" i="1"/>
  <c r="P11" i="1"/>
  <c r="R8" i="1"/>
  <c r="P7" i="1"/>
  <c r="Q4" i="1"/>
  <c r="O3" i="1"/>
  <c r="O11" i="1"/>
  <c r="Q8" i="1"/>
  <c r="P4" i="1"/>
  <c r="R5" i="1"/>
</calcChain>
</file>

<file path=xl/sharedStrings.xml><?xml version="1.0" encoding="utf-8"?>
<sst xmlns="http://schemas.openxmlformats.org/spreadsheetml/2006/main" count="52" uniqueCount="35">
  <si>
    <t>ID</t>
  </si>
  <si>
    <t>P1</t>
  </si>
  <si>
    <t>P2</t>
  </si>
  <si>
    <t>P3</t>
  </si>
  <si>
    <t>P4</t>
  </si>
  <si>
    <t>P5</t>
  </si>
  <si>
    <t>P6</t>
  </si>
  <si>
    <t>P7</t>
  </si>
  <si>
    <t>Variable</t>
  </si>
  <si>
    <t>Tipo</t>
  </si>
  <si>
    <t>Descripción</t>
  </si>
  <si>
    <t>Categorías</t>
  </si>
  <si>
    <t>Identificador del hogar</t>
  </si>
  <si>
    <t>NA</t>
  </si>
  <si>
    <t>Tipo de hogar</t>
  </si>
  <si>
    <t>Cualitativa</t>
  </si>
  <si>
    <t>1. Menos de 2 SMMLV
2. De 2 a 4 SMMLV
3. Más de 4 SMMLV</t>
  </si>
  <si>
    <t>Cuantitativa</t>
  </si>
  <si>
    <t>Gasto mensual en COP destinado a vivienda</t>
  </si>
  <si>
    <t>Gasto mensual en COP destinado a alimentos</t>
  </si>
  <si>
    <t>Gasto mensual en COP destinado a educacion</t>
  </si>
  <si>
    <t>Gasto mensual en COP destinado a transporte</t>
  </si>
  <si>
    <t>Gasto mensual en COP destinado a esparcimiento</t>
  </si>
  <si>
    <t>Gasto mensual en COP destinado a otros</t>
  </si>
  <si>
    <t>D1</t>
  </si>
  <si>
    <t>D2</t>
  </si>
  <si>
    <t>D3</t>
  </si>
  <si>
    <t>Fex</t>
  </si>
  <si>
    <t>Total</t>
  </si>
  <si>
    <t>Total*D1</t>
  </si>
  <si>
    <t xml:space="preserve">Suma </t>
  </si>
  <si>
    <t>S^2_y</t>
  </si>
  <si>
    <t>FCP</t>
  </si>
  <si>
    <t>Var</t>
  </si>
  <si>
    <t>CVE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</si>
</sst>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2" borderId="0" xfId="0" applyFill="1" applyBorder="1"/>
    <xf numFmtId="0" fontId="0" fillId="0" borderId="0" xfId="0" applyBorder="1"/>
    <xf numFmtId="0" fontId="0" fillId="3" borderId="0" xfId="0" applyFill="1"/>
    <xf numFmtId="0" fontId="0" fillId="4" borderId="0" xfId="0" applyFill="1"/>
    <xf numFmtId="0" fontId="4" fillId="5" borderId="0" xfId="0" applyFont="1" applyFill="1"/>
    <xf numFmtId="0" fontId="4" fillId="6" borderId="0" xfId="0" applyFont="1" applyFill="1"/>
    <xf numFmtId="0" fontId="3" fillId="0" borderId="0" xfId="0" applyFont="1"/>
    <xf numFmtId="164" fontId="0" fillId="0" borderId="0" xfId="1" applyNumberFormat="1" applyFont="1"/>
    <xf numFmtId="0" fontId="4" fillId="7" borderId="0" xfId="0" applyFont="1" applyFill="1"/>
    <xf numFmtId="0" fontId="0" fillId="0" borderId="0" xfId="0" applyFont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18EF-237E-4601-8DAA-1F2B06E0B3DF}">
  <dimension ref="A1:BJ16"/>
  <sheetViews>
    <sheetView tabSelected="1" zoomScale="130" zoomScaleNormal="130" workbookViewId="0">
      <pane xSplit="8" ySplit="1" topLeftCell="I5" activePane="bottomRight" state="frozen"/>
      <selection pane="topRight" activeCell="I1" sqref="I1"/>
      <selection pane="bottomLeft" activeCell="A2" sqref="A2"/>
      <selection pane="bottomRight" activeCell="F17" sqref="F17"/>
    </sheetView>
  </sheetViews>
  <sheetFormatPr baseColWidth="10" defaultRowHeight="14.5" x14ac:dyDescent="0.35"/>
  <cols>
    <col min="1" max="2" width="4.7265625" customWidth="1"/>
    <col min="3" max="8" width="12.36328125" bestFit="1" customWidth="1"/>
    <col min="9" max="9" width="15" bestFit="1" customWidth="1"/>
    <col min="10" max="10" width="4.7265625" customWidth="1"/>
    <col min="11" max="11" width="3.08984375" bestFit="1" customWidth="1"/>
    <col min="12" max="12" width="4.36328125" customWidth="1"/>
    <col min="13" max="13" width="6.26953125" customWidth="1"/>
    <col min="14" max="14" width="9.1796875" bestFit="1" customWidth="1"/>
    <col min="15" max="19" width="6.1796875" bestFit="1" customWidth="1"/>
    <col min="20" max="20" width="8.08984375" bestFit="1" customWidth="1"/>
  </cols>
  <sheetData>
    <row r="1" spans="1:6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0" t="s">
        <v>28</v>
      </c>
      <c r="J1" s="10" t="s">
        <v>27</v>
      </c>
      <c r="K1" s="10" t="s">
        <v>24</v>
      </c>
      <c r="L1" s="10" t="s">
        <v>25</v>
      </c>
      <c r="M1" s="10" t="s">
        <v>26</v>
      </c>
      <c r="N1" s="13" t="str">
        <f>C1&amp;"*D1"</f>
        <v>P2*D1</v>
      </c>
      <c r="O1" s="13" t="str">
        <f>D1&amp;"*D1"</f>
        <v>P3*D1</v>
      </c>
      <c r="P1" s="13" t="str">
        <f>E1&amp;"*D1"</f>
        <v>P4*D1</v>
      </c>
      <c r="Q1" s="13" t="str">
        <f>F1&amp;"*D1"</f>
        <v>P5*D1</v>
      </c>
      <c r="R1" s="13" t="str">
        <f>G1&amp;"*D1"</f>
        <v>P6*D1</v>
      </c>
      <c r="S1" s="13" t="str">
        <f>H1&amp;"*D1"</f>
        <v>P7*D1</v>
      </c>
      <c r="T1" s="13" t="s">
        <v>29</v>
      </c>
      <c r="U1" s="12" t="str">
        <f>N1&amp;"*Fex"</f>
        <v>P2*D1*Fex</v>
      </c>
      <c r="V1" s="12" t="str">
        <f t="shared" ref="V1:AA1" si="0">O1&amp;"*Fex"</f>
        <v>P3*D1*Fex</v>
      </c>
      <c r="W1" s="12" t="str">
        <f t="shared" si="0"/>
        <v>P4*D1*Fex</v>
      </c>
      <c r="X1" s="12" t="str">
        <f t="shared" si="0"/>
        <v>P5*D1*Fex</v>
      </c>
      <c r="Y1" s="12" t="str">
        <f t="shared" si="0"/>
        <v>P6*D1*Fex</v>
      </c>
      <c r="Z1" s="12" t="str">
        <f t="shared" si="0"/>
        <v>P7*D1*Fex</v>
      </c>
      <c r="AA1" s="12" t="str">
        <f t="shared" si="0"/>
        <v>Total*D1*Fex</v>
      </c>
      <c r="AB1" s="13" t="str">
        <f>C1&amp;"*D2"</f>
        <v>P2*D2</v>
      </c>
      <c r="AC1" s="13" t="str">
        <f t="shared" ref="AC1:AI1" si="1">D1&amp;"*D2"</f>
        <v>P3*D2</v>
      </c>
      <c r="AD1" s="13" t="str">
        <f t="shared" si="1"/>
        <v>P4*D2</v>
      </c>
      <c r="AE1" s="13" t="str">
        <f t="shared" si="1"/>
        <v>P5*D2</v>
      </c>
      <c r="AF1" s="13" t="str">
        <f t="shared" si="1"/>
        <v>P6*D2</v>
      </c>
      <c r="AG1" s="13" t="str">
        <f t="shared" si="1"/>
        <v>P7*D2</v>
      </c>
      <c r="AH1" s="13" t="str">
        <f t="shared" si="1"/>
        <v>Total*D2</v>
      </c>
      <c r="AI1" s="14" t="str">
        <f>AB1&amp;"*Fex"</f>
        <v>P2*D2*Fex</v>
      </c>
      <c r="AJ1" s="14" t="str">
        <f t="shared" ref="AJ1:AO1" si="2">AC1&amp;"*Fex"</f>
        <v>P3*D2*Fex</v>
      </c>
      <c r="AK1" s="14" t="str">
        <f t="shared" si="2"/>
        <v>P4*D2*Fex</v>
      </c>
      <c r="AL1" s="14" t="str">
        <f t="shared" si="2"/>
        <v>P5*D2*Fex</v>
      </c>
      <c r="AM1" s="14" t="str">
        <f t="shared" si="2"/>
        <v>P6*D2*Fex</v>
      </c>
      <c r="AN1" s="14" t="str">
        <f t="shared" si="2"/>
        <v>P7*D2*Fex</v>
      </c>
      <c r="AO1" s="14" t="str">
        <f t="shared" si="2"/>
        <v>Total*D2*Fex</v>
      </c>
      <c r="AP1" s="15" t="str">
        <f>C1&amp;"*D3"</f>
        <v>P2*D3</v>
      </c>
      <c r="AQ1" s="15" t="str">
        <f t="shared" ref="AQ1:AU1" si="3">D1&amp;"*D3"</f>
        <v>P3*D3</v>
      </c>
      <c r="AR1" s="15" t="str">
        <f t="shared" si="3"/>
        <v>P4*D3</v>
      </c>
      <c r="AS1" s="15" t="str">
        <f t="shared" si="3"/>
        <v>P5*D3</v>
      </c>
      <c r="AT1" s="15" t="str">
        <f t="shared" si="3"/>
        <v>P6*D3</v>
      </c>
      <c r="AU1" s="15" t="str">
        <f t="shared" si="3"/>
        <v>P7*D3</v>
      </c>
      <c r="AV1" s="15" t="str">
        <f>I1&amp;"*D3"</f>
        <v>Total*D3</v>
      </c>
      <c r="AW1" s="14" t="str">
        <f>AP1&amp;"*Fex"</f>
        <v>P2*D3*Fex</v>
      </c>
      <c r="AX1" s="14" t="str">
        <f t="shared" ref="AX1:BC1" si="4">AQ1&amp;"*Fex"</f>
        <v>P3*D3*Fex</v>
      </c>
      <c r="AY1" s="14" t="str">
        <f t="shared" si="4"/>
        <v>P4*D3*Fex</v>
      </c>
      <c r="AZ1" s="14" t="str">
        <f t="shared" si="4"/>
        <v>P5*D3*Fex</v>
      </c>
      <c r="BA1" s="14" t="str">
        <f t="shared" si="4"/>
        <v>P6*D3*Fex</v>
      </c>
      <c r="BB1" s="14" t="str">
        <f t="shared" si="4"/>
        <v>P7*D3*Fex</v>
      </c>
      <c r="BC1" s="14" t="str">
        <f t="shared" si="4"/>
        <v>Total*D3*Fex</v>
      </c>
      <c r="BD1" s="18" t="str">
        <f>C1&amp;"*Fex"</f>
        <v>P2*Fex</v>
      </c>
      <c r="BE1" s="18" t="str">
        <f t="shared" ref="BE1:BJ1" si="5">D1&amp;"*Fex"</f>
        <v>P3*Fex</v>
      </c>
      <c r="BF1" s="18" t="str">
        <f t="shared" si="5"/>
        <v>P4*Fex</v>
      </c>
      <c r="BG1" s="18" t="str">
        <f t="shared" si="5"/>
        <v>P5*Fex</v>
      </c>
      <c r="BH1" s="18" t="str">
        <f t="shared" si="5"/>
        <v>P6*Fex</v>
      </c>
      <c r="BI1" s="18" t="str">
        <f t="shared" si="5"/>
        <v>P7*Fex</v>
      </c>
      <c r="BJ1" s="18" t="str">
        <f t="shared" si="5"/>
        <v>Total*Fex</v>
      </c>
    </row>
    <row r="2" spans="1:62" x14ac:dyDescent="0.35">
      <c r="A2" s="4">
        <v>1</v>
      </c>
      <c r="B2">
        <v>2</v>
      </c>
      <c r="C2">
        <v>224</v>
      </c>
      <c r="D2">
        <v>68</v>
      </c>
      <c r="E2">
        <v>187</v>
      </c>
      <c r="F2">
        <v>36</v>
      </c>
      <c r="G2">
        <v>64</v>
      </c>
      <c r="H2" s="5">
        <v>36</v>
      </c>
      <c r="I2" s="11">
        <f>SUM(C2:H2)</f>
        <v>615</v>
      </c>
      <c r="J2" s="11">
        <f>35/10</f>
        <v>3.5</v>
      </c>
      <c r="K2">
        <f>IF($B2=1,1,0)</f>
        <v>0</v>
      </c>
      <c r="L2">
        <f>IF($B2=2,1,0)</f>
        <v>1</v>
      </c>
      <c r="M2">
        <f>IF($B2=3,1,0)</f>
        <v>0</v>
      </c>
      <c r="N2">
        <f>C2*$K2</f>
        <v>0</v>
      </c>
      <c r="O2">
        <f>D2*$K2</f>
        <v>0</v>
      </c>
      <c r="P2">
        <f>E2*$K2</f>
        <v>0</v>
      </c>
      <c r="Q2">
        <f>F2*$K2</f>
        <v>0</v>
      </c>
      <c r="R2">
        <f>G2*$K2</f>
        <v>0</v>
      </c>
      <c r="S2">
        <f>I2*$K2</f>
        <v>0</v>
      </c>
      <c r="T2">
        <f>I2*$K2</f>
        <v>0</v>
      </c>
      <c r="U2">
        <f>N2*$J2</f>
        <v>0</v>
      </c>
      <c r="V2">
        <f t="shared" ref="V2:AA11" si="6">O2*$J2</f>
        <v>0</v>
      </c>
      <c r="W2">
        <f t="shared" si="6"/>
        <v>0</v>
      </c>
      <c r="X2">
        <f t="shared" si="6"/>
        <v>0</v>
      </c>
      <c r="Y2">
        <f t="shared" si="6"/>
        <v>0</v>
      </c>
      <c r="Z2">
        <f t="shared" si="6"/>
        <v>0</v>
      </c>
      <c r="AA2">
        <f t="shared" si="6"/>
        <v>0</v>
      </c>
      <c r="AB2">
        <f>C2*$L2</f>
        <v>224</v>
      </c>
      <c r="AC2">
        <f t="shared" ref="AC2:AH2" si="7">D2*$L2</f>
        <v>68</v>
      </c>
      <c r="AD2">
        <f t="shared" si="7"/>
        <v>187</v>
      </c>
      <c r="AE2">
        <f t="shared" si="7"/>
        <v>36</v>
      </c>
      <c r="AF2">
        <f t="shared" si="7"/>
        <v>64</v>
      </c>
      <c r="AG2">
        <f t="shared" si="7"/>
        <v>36</v>
      </c>
      <c r="AH2">
        <f t="shared" si="7"/>
        <v>615</v>
      </c>
      <c r="AI2">
        <f>AB2*$J2</f>
        <v>784</v>
      </c>
      <c r="AJ2">
        <f t="shared" ref="AJ2:AO2" si="8">AC2*$J2</f>
        <v>238</v>
      </c>
      <c r="AK2">
        <f t="shared" si="8"/>
        <v>654.5</v>
      </c>
      <c r="AL2">
        <f t="shared" si="8"/>
        <v>126</v>
      </c>
      <c r="AM2">
        <f t="shared" si="8"/>
        <v>224</v>
      </c>
      <c r="AN2">
        <f t="shared" si="8"/>
        <v>126</v>
      </c>
      <c r="AO2">
        <f t="shared" si="8"/>
        <v>2152.5</v>
      </c>
      <c r="AP2">
        <f>C2*$M2</f>
        <v>0</v>
      </c>
      <c r="AQ2">
        <f t="shared" ref="AQ2:AV2" si="9">D2*$M2</f>
        <v>0</v>
      </c>
      <c r="AR2">
        <f t="shared" si="9"/>
        <v>0</v>
      </c>
      <c r="AS2">
        <f t="shared" si="9"/>
        <v>0</v>
      </c>
      <c r="AT2">
        <f t="shared" si="9"/>
        <v>0</v>
      </c>
      <c r="AU2">
        <f t="shared" si="9"/>
        <v>0</v>
      </c>
      <c r="AV2">
        <f t="shared" si="9"/>
        <v>0</v>
      </c>
      <c r="AW2">
        <f>AP2*$J2</f>
        <v>0</v>
      </c>
      <c r="AX2">
        <f t="shared" ref="AX2:BC2" si="10">AQ2*$J2</f>
        <v>0</v>
      </c>
      <c r="AY2">
        <f t="shared" si="10"/>
        <v>0</v>
      </c>
      <c r="AZ2">
        <f t="shared" si="10"/>
        <v>0</v>
      </c>
      <c r="BA2">
        <f t="shared" si="10"/>
        <v>0</v>
      </c>
      <c r="BB2">
        <f t="shared" si="10"/>
        <v>0</v>
      </c>
      <c r="BC2">
        <f t="shared" si="10"/>
        <v>0</v>
      </c>
      <c r="BD2">
        <f>C2*$J2</f>
        <v>784</v>
      </c>
      <c r="BE2">
        <f t="shared" ref="BE2:BJ11" si="11">D2*$J2</f>
        <v>238</v>
      </c>
      <c r="BF2">
        <f t="shared" si="11"/>
        <v>654.5</v>
      </c>
      <c r="BG2">
        <f t="shared" si="11"/>
        <v>126</v>
      </c>
      <c r="BH2">
        <f t="shared" si="11"/>
        <v>224</v>
      </c>
      <c r="BI2">
        <f t="shared" si="11"/>
        <v>126</v>
      </c>
      <c r="BJ2">
        <f t="shared" si="11"/>
        <v>2152.5</v>
      </c>
    </row>
    <row r="3" spans="1:62" x14ac:dyDescent="0.35">
      <c r="A3" s="4">
        <v>2</v>
      </c>
      <c r="B3">
        <v>1</v>
      </c>
      <c r="C3">
        <v>112</v>
      </c>
      <c r="D3">
        <v>42</v>
      </c>
      <c r="E3">
        <v>126</v>
      </c>
      <c r="F3">
        <v>78</v>
      </c>
      <c r="G3">
        <v>207</v>
      </c>
      <c r="H3" s="5">
        <v>63</v>
      </c>
      <c r="I3" s="11">
        <f t="shared" ref="I3:I11" si="12">SUM(C3:H3)</f>
        <v>628</v>
      </c>
      <c r="J3" s="11">
        <f t="shared" ref="J3:J11" si="13">35/10</f>
        <v>3.5</v>
      </c>
      <c r="K3">
        <f t="shared" ref="K3:K11" si="14">IF($B3=1,1,0)</f>
        <v>1</v>
      </c>
      <c r="L3">
        <f t="shared" ref="L3:L11" si="15">IF($B3=2,1,0)</f>
        <v>0</v>
      </c>
      <c r="M3">
        <f t="shared" ref="M3:M11" si="16">IF($B3=3,1,0)</f>
        <v>0</v>
      </c>
      <c r="N3">
        <f t="shared" ref="N3:N11" si="17">C3*$K3</f>
        <v>112</v>
      </c>
      <c r="O3">
        <f t="shared" ref="O3:O11" si="18">D3*$K3</f>
        <v>42</v>
      </c>
      <c r="P3">
        <f t="shared" ref="P3:P11" si="19">E3*$K3</f>
        <v>126</v>
      </c>
      <c r="Q3">
        <f>F3*$K3</f>
        <v>78</v>
      </c>
      <c r="R3">
        <f t="shared" ref="R3:R11" si="20">G3*$K3</f>
        <v>207</v>
      </c>
      <c r="S3">
        <f t="shared" ref="S3:S11" si="21">H3*$K3</f>
        <v>63</v>
      </c>
      <c r="T3">
        <f t="shared" ref="T3:T11" si="22">I3*$K3</f>
        <v>628</v>
      </c>
      <c r="U3">
        <f t="shared" ref="U3:U11" si="23">N3*$J3</f>
        <v>392</v>
      </c>
      <c r="V3">
        <f t="shared" ref="V3:V11" si="24">O3*$J3</f>
        <v>147</v>
      </c>
      <c r="W3">
        <f t="shared" ref="W3:W11" si="25">P3*$J3</f>
        <v>441</v>
      </c>
      <c r="X3">
        <f t="shared" ref="X3:X11" si="26">Q3*$J3</f>
        <v>273</v>
      </c>
      <c r="Y3">
        <f t="shared" si="6"/>
        <v>724.5</v>
      </c>
      <c r="Z3">
        <f t="shared" si="6"/>
        <v>220.5</v>
      </c>
      <c r="AA3">
        <f t="shared" si="6"/>
        <v>2198</v>
      </c>
      <c r="AB3">
        <f t="shared" ref="AB3:AB11" si="27">C3*$L3</f>
        <v>0</v>
      </c>
      <c r="AC3">
        <f t="shared" ref="AC3:AC11" si="28">D3*$L3</f>
        <v>0</v>
      </c>
      <c r="AD3">
        <f t="shared" ref="AD3:AD11" si="29">E3*$L3</f>
        <v>0</v>
      </c>
      <c r="AE3">
        <f t="shared" ref="AE3:AE11" si="30">F3*$L3</f>
        <v>0</v>
      </c>
      <c r="AF3">
        <f t="shared" ref="AF3:AF11" si="31">G3*$L3</f>
        <v>0</v>
      </c>
      <c r="AG3">
        <f t="shared" ref="AG3:AG11" si="32">H3*$L3</f>
        <v>0</v>
      </c>
      <c r="AH3">
        <f t="shared" ref="AH3:AH11" si="33">I3*$L3</f>
        <v>0</v>
      </c>
      <c r="AI3">
        <f t="shared" ref="AI3:AI11" si="34">AB3*$J3</f>
        <v>0</v>
      </c>
      <c r="AJ3">
        <f t="shared" ref="AJ3:AJ11" si="35">AC3*$J3</f>
        <v>0</v>
      </c>
      <c r="AK3">
        <f t="shared" ref="AK3:AK11" si="36">AD3*$J3</f>
        <v>0</v>
      </c>
      <c r="AL3">
        <f t="shared" ref="AL3:AL11" si="37">AE3*$J3</f>
        <v>0</v>
      </c>
      <c r="AM3">
        <f t="shared" ref="AM3:AM11" si="38">AF3*$J3</f>
        <v>0</v>
      </c>
      <c r="AN3">
        <f t="shared" ref="AN3:AN11" si="39">AG3*$J3</f>
        <v>0</v>
      </c>
      <c r="AO3">
        <f t="shared" ref="AO3:AO11" si="40">AH3*$J3</f>
        <v>0</v>
      </c>
      <c r="AP3">
        <f t="shared" ref="AP3:AP11" si="41">C3*$M3</f>
        <v>0</v>
      </c>
      <c r="AQ3">
        <f t="shared" ref="AQ3:AQ11" si="42">D3*$M3</f>
        <v>0</v>
      </c>
      <c r="AR3">
        <f t="shared" ref="AR3:AR11" si="43">E3*$M3</f>
        <v>0</v>
      </c>
      <c r="AS3">
        <f t="shared" ref="AS3:AS11" si="44">F3*$M3</f>
        <v>0</v>
      </c>
      <c r="AT3">
        <f t="shared" ref="AT3:AT11" si="45">G3*$M3</f>
        <v>0</v>
      </c>
      <c r="AU3">
        <f t="shared" ref="AU3:AU11" si="46">H3*$M3</f>
        <v>0</v>
      </c>
      <c r="AV3">
        <f t="shared" ref="AV3:AV11" si="47">I3*$M3</f>
        <v>0</v>
      </c>
      <c r="AW3">
        <f t="shared" ref="AW3:AW11" si="48">AP3*$J3</f>
        <v>0</v>
      </c>
      <c r="AX3">
        <f t="shared" ref="AX3:AX11" si="49">AQ3*$J3</f>
        <v>0</v>
      </c>
      <c r="AY3">
        <f t="shared" ref="AY3:AY11" si="50">AR3*$J3</f>
        <v>0</v>
      </c>
      <c r="AZ3">
        <f t="shared" ref="AZ3:AZ11" si="51">AS3*$J3</f>
        <v>0</v>
      </c>
      <c r="BA3">
        <f t="shared" ref="BA3:BA11" si="52">AT3*$J3</f>
        <v>0</v>
      </c>
      <c r="BB3">
        <f t="shared" ref="BB3:BB11" si="53">AU3*$J3</f>
        <v>0</v>
      </c>
      <c r="BC3">
        <f t="shared" ref="BC3:BC11" si="54">AV3*$J3</f>
        <v>0</v>
      </c>
      <c r="BD3">
        <f t="shared" ref="BD3:BD11" si="55">C3*$J3</f>
        <v>392</v>
      </c>
      <c r="BE3">
        <f t="shared" si="11"/>
        <v>147</v>
      </c>
      <c r="BF3">
        <f t="shared" si="11"/>
        <v>441</v>
      </c>
      <c r="BG3">
        <f t="shared" si="11"/>
        <v>273</v>
      </c>
      <c r="BH3">
        <f t="shared" si="11"/>
        <v>724.5</v>
      </c>
      <c r="BI3">
        <f t="shared" si="11"/>
        <v>220.5</v>
      </c>
      <c r="BJ3">
        <f t="shared" si="11"/>
        <v>2198</v>
      </c>
    </row>
    <row r="4" spans="1:62" x14ac:dyDescent="0.35">
      <c r="A4" s="4">
        <v>3</v>
      </c>
      <c r="B4">
        <v>3</v>
      </c>
      <c r="C4">
        <v>227</v>
      </c>
      <c r="D4">
        <v>154</v>
      </c>
      <c r="E4">
        <v>78</v>
      </c>
      <c r="F4">
        <v>155</v>
      </c>
      <c r="G4">
        <v>169</v>
      </c>
      <c r="H4" s="5">
        <v>57</v>
      </c>
      <c r="I4" s="11">
        <f t="shared" si="12"/>
        <v>840</v>
      </c>
      <c r="J4" s="11">
        <f t="shared" si="13"/>
        <v>3.5</v>
      </c>
      <c r="K4">
        <f t="shared" si="14"/>
        <v>0</v>
      </c>
      <c r="L4">
        <f t="shared" si="15"/>
        <v>0</v>
      </c>
      <c r="M4">
        <f t="shared" si="16"/>
        <v>1</v>
      </c>
      <c r="N4">
        <f t="shared" si="17"/>
        <v>0</v>
      </c>
      <c r="O4">
        <f t="shared" si="18"/>
        <v>0</v>
      </c>
      <c r="P4">
        <f t="shared" si="19"/>
        <v>0</v>
      </c>
      <c r="Q4">
        <f>F4*$K4</f>
        <v>0</v>
      </c>
      <c r="R4">
        <f t="shared" si="20"/>
        <v>0</v>
      </c>
      <c r="S4">
        <f t="shared" si="21"/>
        <v>0</v>
      </c>
      <c r="T4">
        <f t="shared" si="22"/>
        <v>0</v>
      </c>
      <c r="U4">
        <f t="shared" si="23"/>
        <v>0</v>
      </c>
      <c r="V4">
        <f t="shared" si="24"/>
        <v>0</v>
      </c>
      <c r="W4">
        <f t="shared" si="25"/>
        <v>0</v>
      </c>
      <c r="X4">
        <f t="shared" si="26"/>
        <v>0</v>
      </c>
      <c r="Y4">
        <f t="shared" si="6"/>
        <v>0</v>
      </c>
      <c r="Z4">
        <f t="shared" si="6"/>
        <v>0</v>
      </c>
      <c r="AA4">
        <f t="shared" si="6"/>
        <v>0</v>
      </c>
      <c r="AB4">
        <f t="shared" si="27"/>
        <v>0</v>
      </c>
      <c r="AC4">
        <f t="shared" si="28"/>
        <v>0</v>
      </c>
      <c r="AD4">
        <f t="shared" si="29"/>
        <v>0</v>
      </c>
      <c r="AE4">
        <f t="shared" si="30"/>
        <v>0</v>
      </c>
      <c r="AF4">
        <f t="shared" si="31"/>
        <v>0</v>
      </c>
      <c r="AG4">
        <f t="shared" si="32"/>
        <v>0</v>
      </c>
      <c r="AH4">
        <f t="shared" si="33"/>
        <v>0</v>
      </c>
      <c r="AI4">
        <f t="shared" si="34"/>
        <v>0</v>
      </c>
      <c r="AJ4">
        <f t="shared" si="35"/>
        <v>0</v>
      </c>
      <c r="AK4">
        <f t="shared" si="36"/>
        <v>0</v>
      </c>
      <c r="AL4">
        <f t="shared" si="37"/>
        <v>0</v>
      </c>
      <c r="AM4">
        <f t="shared" si="38"/>
        <v>0</v>
      </c>
      <c r="AN4">
        <f t="shared" si="39"/>
        <v>0</v>
      </c>
      <c r="AO4">
        <f t="shared" si="40"/>
        <v>0</v>
      </c>
      <c r="AP4">
        <f t="shared" si="41"/>
        <v>227</v>
      </c>
      <c r="AQ4">
        <f t="shared" si="42"/>
        <v>154</v>
      </c>
      <c r="AR4">
        <f t="shared" si="43"/>
        <v>78</v>
      </c>
      <c r="AS4">
        <f t="shared" si="44"/>
        <v>155</v>
      </c>
      <c r="AT4">
        <f t="shared" si="45"/>
        <v>169</v>
      </c>
      <c r="AU4">
        <f t="shared" si="46"/>
        <v>57</v>
      </c>
      <c r="AV4">
        <f t="shared" si="47"/>
        <v>840</v>
      </c>
      <c r="AW4">
        <f t="shared" si="48"/>
        <v>794.5</v>
      </c>
      <c r="AX4">
        <f t="shared" si="49"/>
        <v>539</v>
      </c>
      <c r="AY4">
        <f t="shared" si="50"/>
        <v>273</v>
      </c>
      <c r="AZ4">
        <f t="shared" si="51"/>
        <v>542.5</v>
      </c>
      <c r="BA4">
        <f t="shared" si="52"/>
        <v>591.5</v>
      </c>
      <c r="BB4">
        <f t="shared" si="53"/>
        <v>199.5</v>
      </c>
      <c r="BC4">
        <f t="shared" si="54"/>
        <v>2940</v>
      </c>
      <c r="BD4">
        <f t="shared" si="55"/>
        <v>794.5</v>
      </c>
      <c r="BE4">
        <f t="shared" si="11"/>
        <v>539</v>
      </c>
      <c r="BF4">
        <f t="shared" si="11"/>
        <v>273</v>
      </c>
      <c r="BG4">
        <f t="shared" si="11"/>
        <v>542.5</v>
      </c>
      <c r="BH4">
        <f t="shared" si="11"/>
        <v>591.5</v>
      </c>
      <c r="BI4">
        <f t="shared" si="11"/>
        <v>199.5</v>
      </c>
      <c r="BJ4">
        <f t="shared" si="11"/>
        <v>2940</v>
      </c>
    </row>
    <row r="5" spans="1:62" x14ac:dyDescent="0.35">
      <c r="A5" s="4">
        <v>4</v>
      </c>
      <c r="B5">
        <v>1</v>
      </c>
      <c r="C5">
        <v>166</v>
      </c>
      <c r="D5">
        <v>143</v>
      </c>
      <c r="E5">
        <v>205</v>
      </c>
      <c r="F5">
        <v>67</v>
      </c>
      <c r="G5">
        <v>18</v>
      </c>
      <c r="H5" s="5">
        <v>181</v>
      </c>
      <c r="I5" s="11">
        <f t="shared" si="12"/>
        <v>780</v>
      </c>
      <c r="J5" s="11">
        <f t="shared" si="13"/>
        <v>3.5</v>
      </c>
      <c r="K5">
        <f t="shared" si="14"/>
        <v>1</v>
      </c>
      <c r="L5">
        <f t="shared" si="15"/>
        <v>0</v>
      </c>
      <c r="M5">
        <f t="shared" si="16"/>
        <v>0</v>
      </c>
      <c r="N5">
        <f t="shared" si="17"/>
        <v>166</v>
      </c>
      <c r="O5">
        <f t="shared" si="18"/>
        <v>143</v>
      </c>
      <c r="P5">
        <f t="shared" si="19"/>
        <v>205</v>
      </c>
      <c r="Q5">
        <f>F5*$K5</f>
        <v>67</v>
      </c>
      <c r="R5">
        <f t="shared" si="20"/>
        <v>18</v>
      </c>
      <c r="S5">
        <f t="shared" si="21"/>
        <v>181</v>
      </c>
      <c r="T5">
        <f t="shared" si="22"/>
        <v>780</v>
      </c>
      <c r="U5">
        <f t="shared" si="23"/>
        <v>581</v>
      </c>
      <c r="V5">
        <f t="shared" si="24"/>
        <v>500.5</v>
      </c>
      <c r="W5">
        <f t="shared" si="25"/>
        <v>717.5</v>
      </c>
      <c r="X5">
        <f t="shared" si="26"/>
        <v>234.5</v>
      </c>
      <c r="Y5">
        <f t="shared" si="6"/>
        <v>63</v>
      </c>
      <c r="Z5">
        <f t="shared" si="6"/>
        <v>633.5</v>
      </c>
      <c r="AA5">
        <f t="shared" si="6"/>
        <v>2730</v>
      </c>
      <c r="AB5">
        <f t="shared" si="27"/>
        <v>0</v>
      </c>
      <c r="AC5">
        <f t="shared" si="28"/>
        <v>0</v>
      </c>
      <c r="AD5">
        <f t="shared" si="29"/>
        <v>0</v>
      </c>
      <c r="AE5">
        <f t="shared" si="30"/>
        <v>0</v>
      </c>
      <c r="AF5">
        <f t="shared" si="31"/>
        <v>0</v>
      </c>
      <c r="AG5">
        <f t="shared" si="32"/>
        <v>0</v>
      </c>
      <c r="AH5">
        <f t="shared" si="33"/>
        <v>0</v>
      </c>
      <c r="AI5">
        <f t="shared" si="34"/>
        <v>0</v>
      </c>
      <c r="AJ5">
        <f t="shared" si="35"/>
        <v>0</v>
      </c>
      <c r="AK5">
        <f t="shared" si="36"/>
        <v>0</v>
      </c>
      <c r="AL5">
        <f t="shared" si="37"/>
        <v>0</v>
      </c>
      <c r="AM5">
        <f t="shared" si="38"/>
        <v>0</v>
      </c>
      <c r="AN5">
        <f t="shared" si="39"/>
        <v>0</v>
      </c>
      <c r="AO5">
        <f t="shared" si="40"/>
        <v>0</v>
      </c>
      <c r="AP5">
        <f t="shared" si="41"/>
        <v>0</v>
      </c>
      <c r="AQ5">
        <f t="shared" si="42"/>
        <v>0</v>
      </c>
      <c r="AR5">
        <f t="shared" si="43"/>
        <v>0</v>
      </c>
      <c r="AS5">
        <f t="shared" si="44"/>
        <v>0</v>
      </c>
      <c r="AT5">
        <f t="shared" si="45"/>
        <v>0</v>
      </c>
      <c r="AU5">
        <f t="shared" si="46"/>
        <v>0</v>
      </c>
      <c r="AV5">
        <f t="shared" si="47"/>
        <v>0</v>
      </c>
      <c r="AW5">
        <f t="shared" si="48"/>
        <v>0</v>
      </c>
      <c r="AX5">
        <f t="shared" si="49"/>
        <v>0</v>
      </c>
      <c r="AY5">
        <f t="shared" si="50"/>
        <v>0</v>
      </c>
      <c r="AZ5">
        <f t="shared" si="51"/>
        <v>0</v>
      </c>
      <c r="BA5">
        <f t="shared" si="52"/>
        <v>0</v>
      </c>
      <c r="BB5">
        <f t="shared" si="53"/>
        <v>0</v>
      </c>
      <c r="BC5">
        <f t="shared" si="54"/>
        <v>0</v>
      </c>
      <c r="BD5">
        <f t="shared" si="55"/>
        <v>581</v>
      </c>
      <c r="BE5">
        <f t="shared" si="11"/>
        <v>500.5</v>
      </c>
      <c r="BF5">
        <f t="shared" si="11"/>
        <v>717.5</v>
      </c>
      <c r="BG5">
        <f t="shared" si="11"/>
        <v>234.5</v>
      </c>
      <c r="BH5">
        <f t="shared" si="11"/>
        <v>63</v>
      </c>
      <c r="BI5">
        <f t="shared" si="11"/>
        <v>633.5</v>
      </c>
      <c r="BJ5">
        <f t="shared" si="11"/>
        <v>2730</v>
      </c>
    </row>
    <row r="6" spans="1:62" x14ac:dyDescent="0.35">
      <c r="A6" s="4">
        <v>5</v>
      </c>
      <c r="B6">
        <v>3</v>
      </c>
      <c r="C6">
        <v>134</v>
      </c>
      <c r="D6">
        <v>149</v>
      </c>
      <c r="E6">
        <v>162</v>
      </c>
      <c r="F6">
        <v>231</v>
      </c>
      <c r="G6">
        <v>44</v>
      </c>
      <c r="H6" s="5">
        <v>72</v>
      </c>
      <c r="I6" s="11">
        <f t="shared" si="12"/>
        <v>792</v>
      </c>
      <c r="J6" s="11">
        <f t="shared" si="13"/>
        <v>3.5</v>
      </c>
      <c r="K6">
        <f t="shared" si="14"/>
        <v>0</v>
      </c>
      <c r="L6">
        <f t="shared" si="15"/>
        <v>0</v>
      </c>
      <c r="M6">
        <f t="shared" si="16"/>
        <v>1</v>
      </c>
      <c r="N6">
        <f t="shared" si="17"/>
        <v>0</v>
      </c>
      <c r="O6">
        <f t="shared" si="18"/>
        <v>0</v>
      </c>
      <c r="P6">
        <f t="shared" si="19"/>
        <v>0</v>
      </c>
      <c r="Q6">
        <f>F6*$K6</f>
        <v>0</v>
      </c>
      <c r="R6">
        <f t="shared" si="20"/>
        <v>0</v>
      </c>
      <c r="S6">
        <f t="shared" si="21"/>
        <v>0</v>
      </c>
      <c r="T6">
        <f t="shared" si="22"/>
        <v>0</v>
      </c>
      <c r="U6">
        <f t="shared" si="23"/>
        <v>0</v>
      </c>
      <c r="V6">
        <f t="shared" si="24"/>
        <v>0</v>
      </c>
      <c r="W6">
        <f t="shared" si="25"/>
        <v>0</v>
      </c>
      <c r="X6">
        <f t="shared" si="26"/>
        <v>0</v>
      </c>
      <c r="Y6">
        <f t="shared" si="6"/>
        <v>0</v>
      </c>
      <c r="Z6">
        <f t="shared" si="6"/>
        <v>0</v>
      </c>
      <c r="AA6">
        <f t="shared" si="6"/>
        <v>0</v>
      </c>
      <c r="AB6">
        <f t="shared" si="27"/>
        <v>0</v>
      </c>
      <c r="AC6">
        <f t="shared" si="28"/>
        <v>0</v>
      </c>
      <c r="AD6">
        <f t="shared" si="29"/>
        <v>0</v>
      </c>
      <c r="AE6">
        <f t="shared" si="30"/>
        <v>0</v>
      </c>
      <c r="AF6">
        <f t="shared" si="31"/>
        <v>0</v>
      </c>
      <c r="AG6">
        <f t="shared" si="32"/>
        <v>0</v>
      </c>
      <c r="AH6">
        <f t="shared" si="33"/>
        <v>0</v>
      </c>
      <c r="AI6">
        <f t="shared" si="34"/>
        <v>0</v>
      </c>
      <c r="AJ6">
        <f t="shared" si="35"/>
        <v>0</v>
      </c>
      <c r="AK6">
        <f t="shared" si="36"/>
        <v>0</v>
      </c>
      <c r="AL6">
        <f t="shared" si="37"/>
        <v>0</v>
      </c>
      <c r="AM6">
        <f t="shared" si="38"/>
        <v>0</v>
      </c>
      <c r="AN6">
        <f t="shared" si="39"/>
        <v>0</v>
      </c>
      <c r="AO6">
        <f t="shared" si="40"/>
        <v>0</v>
      </c>
      <c r="AP6">
        <f t="shared" si="41"/>
        <v>134</v>
      </c>
      <c r="AQ6">
        <f t="shared" si="42"/>
        <v>149</v>
      </c>
      <c r="AR6">
        <f t="shared" si="43"/>
        <v>162</v>
      </c>
      <c r="AS6">
        <f t="shared" si="44"/>
        <v>231</v>
      </c>
      <c r="AT6">
        <f t="shared" si="45"/>
        <v>44</v>
      </c>
      <c r="AU6">
        <f t="shared" si="46"/>
        <v>72</v>
      </c>
      <c r="AV6">
        <f t="shared" si="47"/>
        <v>792</v>
      </c>
      <c r="AW6">
        <f t="shared" si="48"/>
        <v>469</v>
      </c>
      <c r="AX6">
        <f t="shared" si="49"/>
        <v>521.5</v>
      </c>
      <c r="AY6">
        <f t="shared" si="50"/>
        <v>567</v>
      </c>
      <c r="AZ6">
        <f t="shared" si="51"/>
        <v>808.5</v>
      </c>
      <c r="BA6">
        <f t="shared" si="52"/>
        <v>154</v>
      </c>
      <c r="BB6">
        <f t="shared" si="53"/>
        <v>252</v>
      </c>
      <c r="BC6">
        <f t="shared" si="54"/>
        <v>2772</v>
      </c>
      <c r="BD6">
        <f t="shared" si="55"/>
        <v>469</v>
      </c>
      <c r="BE6">
        <f t="shared" si="11"/>
        <v>521.5</v>
      </c>
      <c r="BF6">
        <f t="shared" si="11"/>
        <v>567</v>
      </c>
      <c r="BG6">
        <f t="shared" si="11"/>
        <v>808.5</v>
      </c>
      <c r="BH6">
        <f t="shared" si="11"/>
        <v>154</v>
      </c>
      <c r="BI6">
        <f t="shared" si="11"/>
        <v>252</v>
      </c>
      <c r="BJ6">
        <f t="shared" si="11"/>
        <v>2772</v>
      </c>
    </row>
    <row r="7" spans="1:62" x14ac:dyDescent="0.35">
      <c r="A7" s="4">
        <v>6</v>
      </c>
      <c r="B7">
        <v>2</v>
      </c>
      <c r="C7">
        <v>109</v>
      </c>
      <c r="D7">
        <v>224</v>
      </c>
      <c r="E7">
        <v>138</v>
      </c>
      <c r="F7">
        <v>31</v>
      </c>
      <c r="G7">
        <v>73</v>
      </c>
      <c r="H7" s="5">
        <v>65</v>
      </c>
      <c r="I7" s="11">
        <f t="shared" si="12"/>
        <v>640</v>
      </c>
      <c r="J7" s="11">
        <f t="shared" si="13"/>
        <v>3.5</v>
      </c>
      <c r="K7">
        <f t="shared" si="14"/>
        <v>0</v>
      </c>
      <c r="L7">
        <f t="shared" si="15"/>
        <v>1</v>
      </c>
      <c r="M7">
        <f t="shared" si="16"/>
        <v>0</v>
      </c>
      <c r="N7">
        <f t="shared" si="17"/>
        <v>0</v>
      </c>
      <c r="O7">
        <f t="shared" si="18"/>
        <v>0</v>
      </c>
      <c r="P7">
        <f t="shared" si="19"/>
        <v>0</v>
      </c>
      <c r="Q7">
        <f>F7*$K7</f>
        <v>0</v>
      </c>
      <c r="R7">
        <f t="shared" si="20"/>
        <v>0</v>
      </c>
      <c r="S7">
        <f t="shared" si="21"/>
        <v>0</v>
      </c>
      <c r="T7">
        <f t="shared" si="22"/>
        <v>0</v>
      </c>
      <c r="U7">
        <f t="shared" si="23"/>
        <v>0</v>
      </c>
      <c r="V7">
        <f t="shared" si="24"/>
        <v>0</v>
      </c>
      <c r="W7">
        <f t="shared" si="25"/>
        <v>0</v>
      </c>
      <c r="X7">
        <f t="shared" si="26"/>
        <v>0</v>
      </c>
      <c r="Y7">
        <f t="shared" si="6"/>
        <v>0</v>
      </c>
      <c r="Z7">
        <f t="shared" si="6"/>
        <v>0</v>
      </c>
      <c r="AA7">
        <f t="shared" si="6"/>
        <v>0</v>
      </c>
      <c r="AB7">
        <f t="shared" si="27"/>
        <v>109</v>
      </c>
      <c r="AC7">
        <f t="shared" si="28"/>
        <v>224</v>
      </c>
      <c r="AD7">
        <f t="shared" si="29"/>
        <v>138</v>
      </c>
      <c r="AE7">
        <f t="shared" si="30"/>
        <v>31</v>
      </c>
      <c r="AF7">
        <f t="shared" si="31"/>
        <v>73</v>
      </c>
      <c r="AG7">
        <f t="shared" si="32"/>
        <v>65</v>
      </c>
      <c r="AH7">
        <f t="shared" si="33"/>
        <v>640</v>
      </c>
      <c r="AI7">
        <f t="shared" si="34"/>
        <v>381.5</v>
      </c>
      <c r="AJ7">
        <f t="shared" si="35"/>
        <v>784</v>
      </c>
      <c r="AK7">
        <f t="shared" si="36"/>
        <v>483</v>
      </c>
      <c r="AL7">
        <f t="shared" si="37"/>
        <v>108.5</v>
      </c>
      <c r="AM7">
        <f t="shared" si="38"/>
        <v>255.5</v>
      </c>
      <c r="AN7">
        <f t="shared" si="39"/>
        <v>227.5</v>
      </c>
      <c r="AO7">
        <f t="shared" si="40"/>
        <v>2240</v>
      </c>
      <c r="AP7">
        <f t="shared" si="41"/>
        <v>0</v>
      </c>
      <c r="AQ7">
        <f t="shared" si="42"/>
        <v>0</v>
      </c>
      <c r="AR7">
        <f t="shared" si="43"/>
        <v>0</v>
      </c>
      <c r="AS7">
        <f t="shared" si="44"/>
        <v>0</v>
      </c>
      <c r="AT7">
        <f t="shared" si="45"/>
        <v>0</v>
      </c>
      <c r="AU7">
        <f t="shared" si="46"/>
        <v>0</v>
      </c>
      <c r="AV7">
        <f t="shared" si="47"/>
        <v>0</v>
      </c>
      <c r="AW7">
        <f t="shared" si="48"/>
        <v>0</v>
      </c>
      <c r="AX7">
        <f t="shared" si="49"/>
        <v>0</v>
      </c>
      <c r="AY7">
        <f t="shared" si="50"/>
        <v>0</v>
      </c>
      <c r="AZ7">
        <f t="shared" si="51"/>
        <v>0</v>
      </c>
      <c r="BA7">
        <f t="shared" si="52"/>
        <v>0</v>
      </c>
      <c r="BB7">
        <f t="shared" si="53"/>
        <v>0</v>
      </c>
      <c r="BC7">
        <f t="shared" si="54"/>
        <v>0</v>
      </c>
      <c r="BD7">
        <f t="shared" si="55"/>
        <v>381.5</v>
      </c>
      <c r="BE7">
        <f t="shared" si="11"/>
        <v>784</v>
      </c>
      <c r="BF7">
        <f t="shared" si="11"/>
        <v>483</v>
      </c>
      <c r="BG7">
        <f t="shared" si="11"/>
        <v>108.5</v>
      </c>
      <c r="BH7">
        <f t="shared" si="11"/>
        <v>255.5</v>
      </c>
      <c r="BI7">
        <f t="shared" si="11"/>
        <v>227.5</v>
      </c>
      <c r="BJ7">
        <f t="shared" si="11"/>
        <v>2240</v>
      </c>
    </row>
    <row r="8" spans="1:62" x14ac:dyDescent="0.35">
      <c r="A8" s="4">
        <v>7</v>
      </c>
      <c r="B8">
        <v>2</v>
      </c>
      <c r="C8">
        <v>154</v>
      </c>
      <c r="D8">
        <v>126</v>
      </c>
      <c r="E8">
        <v>50</v>
      </c>
      <c r="F8">
        <v>115</v>
      </c>
      <c r="G8">
        <v>43</v>
      </c>
      <c r="H8" s="5">
        <v>242</v>
      </c>
      <c r="I8" s="11">
        <f t="shared" si="12"/>
        <v>730</v>
      </c>
      <c r="J8" s="11">
        <f t="shared" si="13"/>
        <v>3.5</v>
      </c>
      <c r="K8">
        <f t="shared" si="14"/>
        <v>0</v>
      </c>
      <c r="L8">
        <f t="shared" si="15"/>
        <v>1</v>
      </c>
      <c r="M8">
        <f t="shared" si="16"/>
        <v>0</v>
      </c>
      <c r="N8">
        <f t="shared" si="17"/>
        <v>0</v>
      </c>
      <c r="O8">
        <f t="shared" si="18"/>
        <v>0</v>
      </c>
      <c r="P8">
        <f t="shared" si="19"/>
        <v>0</v>
      </c>
      <c r="Q8">
        <f>F8*$K8</f>
        <v>0</v>
      </c>
      <c r="R8">
        <f t="shared" si="20"/>
        <v>0</v>
      </c>
      <c r="S8">
        <f t="shared" si="21"/>
        <v>0</v>
      </c>
      <c r="T8">
        <f t="shared" si="22"/>
        <v>0</v>
      </c>
      <c r="U8">
        <f t="shared" si="23"/>
        <v>0</v>
      </c>
      <c r="V8">
        <f t="shared" si="24"/>
        <v>0</v>
      </c>
      <c r="W8">
        <f t="shared" si="25"/>
        <v>0</v>
      </c>
      <c r="X8">
        <f t="shared" si="26"/>
        <v>0</v>
      </c>
      <c r="Y8">
        <f t="shared" si="6"/>
        <v>0</v>
      </c>
      <c r="Z8">
        <f t="shared" si="6"/>
        <v>0</v>
      </c>
      <c r="AA8">
        <f t="shared" si="6"/>
        <v>0</v>
      </c>
      <c r="AB8">
        <f t="shared" si="27"/>
        <v>154</v>
      </c>
      <c r="AC8">
        <f t="shared" si="28"/>
        <v>126</v>
      </c>
      <c r="AD8">
        <f t="shared" si="29"/>
        <v>50</v>
      </c>
      <c r="AE8">
        <f t="shared" si="30"/>
        <v>115</v>
      </c>
      <c r="AF8">
        <f t="shared" si="31"/>
        <v>43</v>
      </c>
      <c r="AG8">
        <f t="shared" si="32"/>
        <v>242</v>
      </c>
      <c r="AH8">
        <f t="shared" si="33"/>
        <v>730</v>
      </c>
      <c r="AI8">
        <f t="shared" si="34"/>
        <v>539</v>
      </c>
      <c r="AJ8">
        <f t="shared" si="35"/>
        <v>441</v>
      </c>
      <c r="AK8">
        <f t="shared" si="36"/>
        <v>175</v>
      </c>
      <c r="AL8">
        <f t="shared" si="37"/>
        <v>402.5</v>
      </c>
      <c r="AM8">
        <f t="shared" si="38"/>
        <v>150.5</v>
      </c>
      <c r="AN8">
        <f t="shared" si="39"/>
        <v>847</v>
      </c>
      <c r="AO8">
        <f t="shared" si="40"/>
        <v>2555</v>
      </c>
      <c r="AP8">
        <f t="shared" si="41"/>
        <v>0</v>
      </c>
      <c r="AQ8">
        <f t="shared" si="42"/>
        <v>0</v>
      </c>
      <c r="AR8">
        <f t="shared" si="43"/>
        <v>0</v>
      </c>
      <c r="AS8">
        <f t="shared" si="44"/>
        <v>0</v>
      </c>
      <c r="AT8">
        <f t="shared" si="45"/>
        <v>0</v>
      </c>
      <c r="AU8">
        <f t="shared" si="46"/>
        <v>0</v>
      </c>
      <c r="AV8">
        <f t="shared" si="47"/>
        <v>0</v>
      </c>
      <c r="AW8">
        <f t="shared" si="48"/>
        <v>0</v>
      </c>
      <c r="AX8">
        <f t="shared" si="49"/>
        <v>0</v>
      </c>
      <c r="AY8">
        <f t="shared" si="50"/>
        <v>0</v>
      </c>
      <c r="AZ8">
        <f t="shared" si="51"/>
        <v>0</v>
      </c>
      <c r="BA8">
        <f t="shared" si="52"/>
        <v>0</v>
      </c>
      <c r="BB8">
        <f t="shared" si="53"/>
        <v>0</v>
      </c>
      <c r="BC8">
        <f t="shared" si="54"/>
        <v>0</v>
      </c>
      <c r="BD8">
        <f t="shared" si="55"/>
        <v>539</v>
      </c>
      <c r="BE8">
        <f t="shared" si="11"/>
        <v>441</v>
      </c>
      <c r="BF8">
        <f t="shared" si="11"/>
        <v>175</v>
      </c>
      <c r="BG8">
        <f t="shared" si="11"/>
        <v>402.5</v>
      </c>
      <c r="BH8">
        <f t="shared" si="11"/>
        <v>150.5</v>
      </c>
      <c r="BI8">
        <f t="shared" si="11"/>
        <v>847</v>
      </c>
      <c r="BJ8">
        <f t="shared" si="11"/>
        <v>2555</v>
      </c>
    </row>
    <row r="9" spans="1:62" x14ac:dyDescent="0.35">
      <c r="A9" s="4">
        <v>8</v>
      </c>
      <c r="B9">
        <v>3</v>
      </c>
      <c r="C9">
        <v>190</v>
      </c>
      <c r="D9">
        <v>161</v>
      </c>
      <c r="E9">
        <v>158</v>
      </c>
      <c r="F9">
        <v>172</v>
      </c>
      <c r="G9">
        <v>83</v>
      </c>
      <c r="H9" s="5">
        <v>32</v>
      </c>
      <c r="I9" s="11">
        <f t="shared" si="12"/>
        <v>796</v>
      </c>
      <c r="J9" s="11">
        <f t="shared" si="13"/>
        <v>3.5</v>
      </c>
      <c r="K9">
        <f t="shared" si="14"/>
        <v>0</v>
      </c>
      <c r="L9">
        <f t="shared" si="15"/>
        <v>0</v>
      </c>
      <c r="M9">
        <f t="shared" si="16"/>
        <v>1</v>
      </c>
      <c r="N9">
        <f t="shared" si="17"/>
        <v>0</v>
      </c>
      <c r="O9">
        <f t="shared" si="18"/>
        <v>0</v>
      </c>
      <c r="P9">
        <f t="shared" si="19"/>
        <v>0</v>
      </c>
      <c r="Q9">
        <f>F9*$K9</f>
        <v>0</v>
      </c>
      <c r="R9">
        <f t="shared" si="20"/>
        <v>0</v>
      </c>
      <c r="S9">
        <f t="shared" si="21"/>
        <v>0</v>
      </c>
      <c r="T9">
        <f t="shared" si="22"/>
        <v>0</v>
      </c>
      <c r="U9">
        <f t="shared" si="23"/>
        <v>0</v>
      </c>
      <c r="V9">
        <f t="shared" si="24"/>
        <v>0</v>
      </c>
      <c r="W9">
        <f t="shared" si="25"/>
        <v>0</v>
      </c>
      <c r="X9">
        <f t="shared" si="26"/>
        <v>0</v>
      </c>
      <c r="Y9">
        <f t="shared" si="6"/>
        <v>0</v>
      </c>
      <c r="Z9">
        <f t="shared" si="6"/>
        <v>0</v>
      </c>
      <c r="AA9">
        <f t="shared" si="6"/>
        <v>0</v>
      </c>
      <c r="AB9">
        <f t="shared" si="27"/>
        <v>0</v>
      </c>
      <c r="AC9">
        <f t="shared" si="28"/>
        <v>0</v>
      </c>
      <c r="AD9">
        <f t="shared" si="29"/>
        <v>0</v>
      </c>
      <c r="AE9">
        <f t="shared" si="30"/>
        <v>0</v>
      </c>
      <c r="AF9">
        <f t="shared" si="31"/>
        <v>0</v>
      </c>
      <c r="AG9">
        <f t="shared" si="32"/>
        <v>0</v>
      </c>
      <c r="AH9">
        <f t="shared" si="33"/>
        <v>0</v>
      </c>
      <c r="AI9">
        <f t="shared" si="34"/>
        <v>0</v>
      </c>
      <c r="AJ9">
        <f t="shared" si="35"/>
        <v>0</v>
      </c>
      <c r="AK9">
        <f t="shared" si="36"/>
        <v>0</v>
      </c>
      <c r="AL9">
        <f t="shared" si="37"/>
        <v>0</v>
      </c>
      <c r="AM9">
        <f t="shared" si="38"/>
        <v>0</v>
      </c>
      <c r="AN9">
        <f t="shared" si="39"/>
        <v>0</v>
      </c>
      <c r="AO9">
        <f t="shared" si="40"/>
        <v>0</v>
      </c>
      <c r="AP9">
        <f t="shared" si="41"/>
        <v>190</v>
      </c>
      <c r="AQ9">
        <f t="shared" si="42"/>
        <v>161</v>
      </c>
      <c r="AR9">
        <f t="shared" si="43"/>
        <v>158</v>
      </c>
      <c r="AS9">
        <f t="shared" si="44"/>
        <v>172</v>
      </c>
      <c r="AT9">
        <f t="shared" si="45"/>
        <v>83</v>
      </c>
      <c r="AU9">
        <f t="shared" si="46"/>
        <v>32</v>
      </c>
      <c r="AV9">
        <f t="shared" si="47"/>
        <v>796</v>
      </c>
      <c r="AW9">
        <f t="shared" si="48"/>
        <v>665</v>
      </c>
      <c r="AX9">
        <f t="shared" si="49"/>
        <v>563.5</v>
      </c>
      <c r="AY9">
        <f t="shared" si="50"/>
        <v>553</v>
      </c>
      <c r="AZ9">
        <f t="shared" si="51"/>
        <v>602</v>
      </c>
      <c r="BA9">
        <f t="shared" si="52"/>
        <v>290.5</v>
      </c>
      <c r="BB9">
        <f t="shared" si="53"/>
        <v>112</v>
      </c>
      <c r="BC9">
        <f t="shared" si="54"/>
        <v>2786</v>
      </c>
      <c r="BD9">
        <f t="shared" si="55"/>
        <v>665</v>
      </c>
      <c r="BE9">
        <f t="shared" si="11"/>
        <v>563.5</v>
      </c>
      <c r="BF9">
        <f t="shared" si="11"/>
        <v>553</v>
      </c>
      <c r="BG9">
        <f t="shared" si="11"/>
        <v>602</v>
      </c>
      <c r="BH9">
        <f t="shared" si="11"/>
        <v>290.5</v>
      </c>
      <c r="BI9">
        <f t="shared" si="11"/>
        <v>112</v>
      </c>
      <c r="BJ9">
        <f t="shared" si="11"/>
        <v>2786</v>
      </c>
    </row>
    <row r="10" spans="1:62" x14ac:dyDescent="0.35">
      <c r="A10" s="4">
        <v>9</v>
      </c>
      <c r="B10">
        <v>3</v>
      </c>
      <c r="C10">
        <v>33</v>
      </c>
      <c r="D10">
        <v>4</v>
      </c>
      <c r="E10">
        <v>10</v>
      </c>
      <c r="F10">
        <v>232</v>
      </c>
      <c r="G10">
        <v>97</v>
      </c>
      <c r="H10" s="5">
        <v>23</v>
      </c>
      <c r="I10" s="11">
        <f t="shared" si="12"/>
        <v>399</v>
      </c>
      <c r="J10" s="11">
        <f t="shared" si="13"/>
        <v>3.5</v>
      </c>
      <c r="K10">
        <f t="shared" si="14"/>
        <v>0</v>
      </c>
      <c r="L10">
        <f t="shared" si="15"/>
        <v>0</v>
      </c>
      <c r="M10">
        <f t="shared" si="16"/>
        <v>1</v>
      </c>
      <c r="N10">
        <f t="shared" si="17"/>
        <v>0</v>
      </c>
      <c r="O10">
        <f t="shared" si="18"/>
        <v>0</v>
      </c>
      <c r="P10">
        <f t="shared" si="19"/>
        <v>0</v>
      </c>
      <c r="Q10">
        <f>F10*$K10</f>
        <v>0</v>
      </c>
      <c r="R10">
        <f t="shared" si="20"/>
        <v>0</v>
      </c>
      <c r="S10">
        <f t="shared" si="21"/>
        <v>0</v>
      </c>
      <c r="T10">
        <f t="shared" si="22"/>
        <v>0</v>
      </c>
      <c r="U10">
        <f t="shared" si="23"/>
        <v>0</v>
      </c>
      <c r="V10">
        <f t="shared" si="24"/>
        <v>0</v>
      </c>
      <c r="W10">
        <f t="shared" si="25"/>
        <v>0</v>
      </c>
      <c r="X10">
        <f t="shared" si="26"/>
        <v>0</v>
      </c>
      <c r="Y10">
        <f t="shared" si="6"/>
        <v>0</v>
      </c>
      <c r="Z10">
        <f t="shared" si="6"/>
        <v>0</v>
      </c>
      <c r="AA10">
        <f t="shared" si="6"/>
        <v>0</v>
      </c>
      <c r="AB10">
        <f t="shared" si="27"/>
        <v>0</v>
      </c>
      <c r="AC10">
        <f t="shared" si="28"/>
        <v>0</v>
      </c>
      <c r="AD10">
        <f t="shared" si="29"/>
        <v>0</v>
      </c>
      <c r="AE10">
        <f t="shared" si="30"/>
        <v>0</v>
      </c>
      <c r="AF10">
        <f t="shared" si="31"/>
        <v>0</v>
      </c>
      <c r="AG10">
        <f t="shared" si="32"/>
        <v>0</v>
      </c>
      <c r="AH10">
        <f t="shared" si="33"/>
        <v>0</v>
      </c>
      <c r="AI10">
        <f t="shared" si="34"/>
        <v>0</v>
      </c>
      <c r="AJ10">
        <f t="shared" si="35"/>
        <v>0</v>
      </c>
      <c r="AK10">
        <f t="shared" si="36"/>
        <v>0</v>
      </c>
      <c r="AL10">
        <f t="shared" si="37"/>
        <v>0</v>
      </c>
      <c r="AM10">
        <f t="shared" si="38"/>
        <v>0</v>
      </c>
      <c r="AN10">
        <f t="shared" si="39"/>
        <v>0</v>
      </c>
      <c r="AO10">
        <f t="shared" si="40"/>
        <v>0</v>
      </c>
      <c r="AP10">
        <f t="shared" si="41"/>
        <v>33</v>
      </c>
      <c r="AQ10">
        <f t="shared" si="42"/>
        <v>4</v>
      </c>
      <c r="AR10">
        <f t="shared" si="43"/>
        <v>10</v>
      </c>
      <c r="AS10">
        <f t="shared" si="44"/>
        <v>232</v>
      </c>
      <c r="AT10">
        <f t="shared" si="45"/>
        <v>97</v>
      </c>
      <c r="AU10">
        <f t="shared" si="46"/>
        <v>23</v>
      </c>
      <c r="AV10">
        <f t="shared" si="47"/>
        <v>399</v>
      </c>
      <c r="AW10">
        <f t="shared" si="48"/>
        <v>115.5</v>
      </c>
      <c r="AX10">
        <f t="shared" si="49"/>
        <v>14</v>
      </c>
      <c r="AY10">
        <f t="shared" si="50"/>
        <v>35</v>
      </c>
      <c r="AZ10">
        <f t="shared" si="51"/>
        <v>812</v>
      </c>
      <c r="BA10">
        <f t="shared" si="52"/>
        <v>339.5</v>
      </c>
      <c r="BB10">
        <f t="shared" si="53"/>
        <v>80.5</v>
      </c>
      <c r="BC10">
        <f t="shared" si="54"/>
        <v>1396.5</v>
      </c>
      <c r="BD10">
        <f t="shared" si="55"/>
        <v>115.5</v>
      </c>
      <c r="BE10">
        <f t="shared" si="11"/>
        <v>14</v>
      </c>
      <c r="BF10">
        <f t="shared" si="11"/>
        <v>35</v>
      </c>
      <c r="BG10">
        <f t="shared" si="11"/>
        <v>812</v>
      </c>
      <c r="BH10">
        <f t="shared" si="11"/>
        <v>339.5</v>
      </c>
      <c r="BI10">
        <f t="shared" si="11"/>
        <v>80.5</v>
      </c>
      <c r="BJ10">
        <f t="shared" si="11"/>
        <v>1396.5</v>
      </c>
    </row>
    <row r="11" spans="1:62" ht="15" thickBot="1" x14ac:dyDescent="0.4">
      <c r="A11" s="6">
        <v>10</v>
      </c>
      <c r="B11" s="7">
        <v>3</v>
      </c>
      <c r="C11" s="7">
        <v>244</v>
      </c>
      <c r="D11" s="7">
        <v>81</v>
      </c>
      <c r="E11" s="7">
        <v>153</v>
      </c>
      <c r="F11" s="7">
        <v>126</v>
      </c>
      <c r="G11" s="7">
        <v>175</v>
      </c>
      <c r="H11" s="8">
        <v>61</v>
      </c>
      <c r="I11" s="11">
        <f t="shared" si="12"/>
        <v>840</v>
      </c>
      <c r="J11" s="11">
        <f t="shared" si="13"/>
        <v>3.5</v>
      </c>
      <c r="K11">
        <f t="shared" si="14"/>
        <v>0</v>
      </c>
      <c r="L11">
        <f t="shared" si="15"/>
        <v>0</v>
      </c>
      <c r="M11">
        <f t="shared" si="16"/>
        <v>1</v>
      </c>
      <c r="N11">
        <f t="shared" si="17"/>
        <v>0</v>
      </c>
      <c r="O11">
        <f t="shared" si="18"/>
        <v>0</v>
      </c>
      <c r="P11">
        <f t="shared" si="19"/>
        <v>0</v>
      </c>
      <c r="Q11">
        <f>F11*$K11</f>
        <v>0</v>
      </c>
      <c r="R11">
        <f t="shared" si="20"/>
        <v>0</v>
      </c>
      <c r="S11">
        <f t="shared" si="21"/>
        <v>0</v>
      </c>
      <c r="T11">
        <f t="shared" si="22"/>
        <v>0</v>
      </c>
      <c r="U11">
        <f t="shared" si="23"/>
        <v>0</v>
      </c>
      <c r="V11">
        <f t="shared" si="24"/>
        <v>0</v>
      </c>
      <c r="W11">
        <f t="shared" si="25"/>
        <v>0</v>
      </c>
      <c r="X11">
        <f t="shared" si="26"/>
        <v>0</v>
      </c>
      <c r="Y11">
        <f t="shared" si="6"/>
        <v>0</v>
      </c>
      <c r="Z11">
        <f t="shared" si="6"/>
        <v>0</v>
      </c>
      <c r="AA11">
        <f t="shared" si="6"/>
        <v>0</v>
      </c>
      <c r="AB11">
        <f t="shared" si="27"/>
        <v>0</v>
      </c>
      <c r="AC11">
        <f t="shared" si="28"/>
        <v>0</v>
      </c>
      <c r="AD11">
        <f t="shared" si="29"/>
        <v>0</v>
      </c>
      <c r="AE11">
        <f t="shared" si="30"/>
        <v>0</v>
      </c>
      <c r="AF11">
        <f t="shared" si="31"/>
        <v>0</v>
      </c>
      <c r="AG11">
        <f t="shared" si="32"/>
        <v>0</v>
      </c>
      <c r="AH11">
        <f t="shared" si="33"/>
        <v>0</v>
      </c>
      <c r="AI11">
        <f t="shared" si="34"/>
        <v>0</v>
      </c>
      <c r="AJ11">
        <f t="shared" si="35"/>
        <v>0</v>
      </c>
      <c r="AK11">
        <f t="shared" si="36"/>
        <v>0</v>
      </c>
      <c r="AL11">
        <f t="shared" si="37"/>
        <v>0</v>
      </c>
      <c r="AM11">
        <f t="shared" si="38"/>
        <v>0</v>
      </c>
      <c r="AN11">
        <f t="shared" si="39"/>
        <v>0</v>
      </c>
      <c r="AO11">
        <f t="shared" si="40"/>
        <v>0</v>
      </c>
      <c r="AP11">
        <f t="shared" si="41"/>
        <v>244</v>
      </c>
      <c r="AQ11">
        <f t="shared" si="42"/>
        <v>81</v>
      </c>
      <c r="AR11">
        <f t="shared" si="43"/>
        <v>153</v>
      </c>
      <c r="AS11">
        <f t="shared" si="44"/>
        <v>126</v>
      </c>
      <c r="AT11">
        <f t="shared" si="45"/>
        <v>175</v>
      </c>
      <c r="AU11">
        <f t="shared" si="46"/>
        <v>61</v>
      </c>
      <c r="AV11">
        <f t="shared" si="47"/>
        <v>840</v>
      </c>
      <c r="AW11">
        <f t="shared" si="48"/>
        <v>854</v>
      </c>
      <c r="AX11">
        <f t="shared" si="49"/>
        <v>283.5</v>
      </c>
      <c r="AY11">
        <f t="shared" si="50"/>
        <v>535.5</v>
      </c>
      <c r="AZ11">
        <f t="shared" si="51"/>
        <v>441</v>
      </c>
      <c r="BA11">
        <f t="shared" si="52"/>
        <v>612.5</v>
      </c>
      <c r="BB11">
        <f t="shared" si="53"/>
        <v>213.5</v>
      </c>
      <c r="BC11">
        <f t="shared" si="54"/>
        <v>2940</v>
      </c>
      <c r="BD11">
        <f t="shared" si="55"/>
        <v>854</v>
      </c>
      <c r="BE11">
        <f t="shared" si="11"/>
        <v>283.5</v>
      </c>
      <c r="BF11">
        <f t="shared" si="11"/>
        <v>535.5</v>
      </c>
      <c r="BG11">
        <f t="shared" si="11"/>
        <v>441</v>
      </c>
      <c r="BH11">
        <f t="shared" si="11"/>
        <v>612.5</v>
      </c>
      <c r="BI11">
        <f t="shared" si="11"/>
        <v>213.5</v>
      </c>
      <c r="BJ11">
        <f t="shared" si="11"/>
        <v>2940</v>
      </c>
    </row>
    <row r="12" spans="1:62" x14ac:dyDescent="0.35">
      <c r="M12" t="s">
        <v>30</v>
      </c>
      <c r="U12">
        <f>SUM(U2:U11)</f>
        <v>973</v>
      </c>
      <c r="V12">
        <f t="shared" ref="V12:AA12" si="56">SUM(V1:V11)</f>
        <v>647.5</v>
      </c>
      <c r="W12">
        <f t="shared" si="56"/>
        <v>1158.5</v>
      </c>
      <c r="X12">
        <f t="shared" si="56"/>
        <v>507.5</v>
      </c>
      <c r="Y12">
        <f t="shared" si="56"/>
        <v>787.5</v>
      </c>
      <c r="Z12">
        <f t="shared" si="56"/>
        <v>854</v>
      </c>
      <c r="AA12" s="16">
        <f t="shared" si="56"/>
        <v>4928</v>
      </c>
      <c r="AI12" s="16">
        <f>SUM(AI1:AI11)</f>
        <v>1704.5</v>
      </c>
      <c r="AJ12">
        <f t="shared" ref="AJ12:AO12" si="57">SUM(AJ1:AJ11)</f>
        <v>1463</v>
      </c>
      <c r="AK12">
        <f t="shared" si="57"/>
        <v>1312.5</v>
      </c>
      <c r="AL12">
        <f t="shared" si="57"/>
        <v>637</v>
      </c>
      <c r="AM12">
        <f t="shared" si="57"/>
        <v>630</v>
      </c>
      <c r="AN12">
        <f t="shared" si="57"/>
        <v>1200.5</v>
      </c>
      <c r="AO12" s="16">
        <f t="shared" si="57"/>
        <v>6947.5</v>
      </c>
      <c r="AW12">
        <f>SUM(AW1:AW11)</f>
        <v>2898</v>
      </c>
      <c r="AX12">
        <f t="shared" ref="AX12:BC12" si="58">SUM(AX1:AX11)</f>
        <v>1921.5</v>
      </c>
      <c r="AY12">
        <f t="shared" si="58"/>
        <v>1963.5</v>
      </c>
      <c r="AZ12">
        <f t="shared" si="58"/>
        <v>3206</v>
      </c>
      <c r="BA12">
        <f t="shared" si="58"/>
        <v>1988</v>
      </c>
      <c r="BB12">
        <f t="shared" si="58"/>
        <v>857.5</v>
      </c>
      <c r="BC12" s="16">
        <f t="shared" si="58"/>
        <v>12834.5</v>
      </c>
      <c r="BD12" s="19">
        <f t="shared" ref="BD12" si="59">SUM(BD1:BD11)</f>
        <v>5575.5</v>
      </c>
      <c r="BE12" s="19">
        <f t="shared" ref="BE12" si="60">SUM(BE1:BE11)</f>
        <v>4032</v>
      </c>
      <c r="BF12" s="19">
        <f t="shared" ref="BF12" si="61">SUM(BF1:BF11)</f>
        <v>4434.5</v>
      </c>
      <c r="BG12" s="19">
        <f t="shared" ref="BG12" si="62">SUM(BG1:BG11)</f>
        <v>4350.5</v>
      </c>
      <c r="BH12" s="19">
        <f t="shared" ref="BH12" si="63">SUM(BH1:BH11)</f>
        <v>3405.5</v>
      </c>
      <c r="BI12" s="19">
        <f t="shared" ref="BI12" si="64">SUM(BI1:BI11)</f>
        <v>2912</v>
      </c>
      <c r="BJ12" s="16">
        <f t="shared" ref="BJ12" si="65">SUM(BJ1:BJ11)</f>
        <v>24710</v>
      </c>
    </row>
    <row r="13" spans="1:62" x14ac:dyDescent="0.35">
      <c r="B13" t="s">
        <v>31</v>
      </c>
      <c r="C13" s="20">
        <f>_xlfn.VAR.S(C2:C11)</f>
        <v>4257.5666666666675</v>
      </c>
      <c r="D13" s="20">
        <f t="shared" ref="D13:I13" si="66">_xlfn.VAR.S(D2:D11)</f>
        <v>4288.1777777777788</v>
      </c>
      <c r="E13" s="20">
        <f t="shared" si="66"/>
        <v>3854.0111111111119</v>
      </c>
      <c r="F13" s="20">
        <f t="shared" si="66"/>
        <v>5357.7888888888892</v>
      </c>
      <c r="G13" s="20">
        <f t="shared" si="66"/>
        <v>4132.6777777777788</v>
      </c>
      <c r="H13" s="20">
        <f t="shared" si="66"/>
        <v>5033.2888888888892</v>
      </c>
      <c r="I13" s="20">
        <f t="shared" si="66"/>
        <v>18936.666666666668</v>
      </c>
      <c r="M13" t="s">
        <v>31</v>
      </c>
      <c r="N13">
        <f>_xlfn.VAR.S(N2:N11)</f>
        <v>3596.8444444444444</v>
      </c>
      <c r="O13">
        <f t="shared" ref="O13:T13" si="67">_xlfn.VAR.S(O2:O11)</f>
        <v>2087.8333333333335</v>
      </c>
      <c r="P13">
        <f t="shared" si="67"/>
        <v>5216.1000000000004</v>
      </c>
      <c r="Q13">
        <f t="shared" si="67"/>
        <v>941.16666666666663</v>
      </c>
      <c r="R13">
        <f t="shared" si="67"/>
        <v>4234.5</v>
      </c>
      <c r="S13">
        <f t="shared" si="67"/>
        <v>3419.6000000000004</v>
      </c>
      <c r="T13">
        <f t="shared" si="67"/>
        <v>89393.066666666666</v>
      </c>
      <c r="AB13">
        <f>_xlfn.VAR.S(AB2:AB11)</f>
        <v>6895.1222222222223</v>
      </c>
      <c r="AC13">
        <f t="shared" ref="AC13:AH13" si="68">_xlfn.VAR.S(AC2:AC11)</f>
        <v>5911.5111111111109</v>
      </c>
      <c r="AD13">
        <f t="shared" si="68"/>
        <v>4716.7222222222226</v>
      </c>
      <c r="AE13">
        <f t="shared" si="68"/>
        <v>1352.1777777777779</v>
      </c>
      <c r="AF13">
        <f t="shared" si="68"/>
        <v>892.66666666666663</v>
      </c>
      <c r="AG13">
        <f t="shared" si="68"/>
        <v>5813.344444444444</v>
      </c>
      <c r="AH13">
        <f t="shared" si="68"/>
        <v>102966.94444444444</v>
      </c>
      <c r="AP13">
        <f>_xlfn.VAR.S(AP2:AP11)</f>
        <v>10850.177777777779</v>
      </c>
      <c r="AQ13">
        <f t="shared" ref="AQ13:AV13" si="69">_xlfn.VAR.S(AQ2:AQ11)</f>
        <v>5363.8777777777777</v>
      </c>
      <c r="AR13">
        <f t="shared" si="69"/>
        <v>5480.9888888888891</v>
      </c>
      <c r="AS13">
        <f>_xlfn.VAR.S(AS2:AS11)</f>
        <v>10307.155555555555</v>
      </c>
      <c r="AT13">
        <f t="shared" si="69"/>
        <v>5017.5111111111109</v>
      </c>
      <c r="AU13">
        <f t="shared" si="69"/>
        <v>856.05555555555554</v>
      </c>
      <c r="AV13">
        <f t="shared" si="69"/>
        <v>165176.90000000002</v>
      </c>
    </row>
    <row r="14" spans="1:62" x14ac:dyDescent="0.35">
      <c r="B14" t="s">
        <v>33</v>
      </c>
      <c r="C14" s="20">
        <f>$M$15*C13</f>
        <v>372537.08333333343</v>
      </c>
      <c r="D14" s="20">
        <f t="shared" ref="D14" si="70">$M$15*D13</f>
        <v>375215.55555555562</v>
      </c>
      <c r="E14" s="20">
        <f t="shared" ref="E14" si="71">$M$15*E13</f>
        <v>337225.97222222231</v>
      </c>
      <c r="F14" s="20">
        <f t="shared" ref="F14" si="72">$M$15*F13</f>
        <v>468806.52777777781</v>
      </c>
      <c r="G14" s="20">
        <f t="shared" ref="G14" si="73">$M$15*G13</f>
        <v>361609.30555555562</v>
      </c>
      <c r="H14" s="20">
        <f t="shared" ref="H14" si="74">$M$15*H13</f>
        <v>440412.77777777781</v>
      </c>
      <c r="I14" s="20">
        <f t="shared" ref="I14" si="75">$M$15*I13</f>
        <v>1656958.3333333335</v>
      </c>
      <c r="M14" t="s">
        <v>33</v>
      </c>
      <c r="N14">
        <f>$M$15*N13</f>
        <v>314723.88888888888</v>
      </c>
      <c r="O14">
        <f t="shared" ref="O14:T14" si="76">$M$15*O13</f>
        <v>182685.41666666669</v>
      </c>
      <c r="P14">
        <f t="shared" si="76"/>
        <v>456408.75000000006</v>
      </c>
      <c r="Q14">
        <f t="shared" si="76"/>
        <v>82352.083333333328</v>
      </c>
      <c r="R14">
        <f t="shared" si="76"/>
        <v>370518.75</v>
      </c>
      <c r="S14">
        <f t="shared" si="76"/>
        <v>299215.00000000006</v>
      </c>
      <c r="T14">
        <f t="shared" si="76"/>
        <v>7821893.333333333</v>
      </c>
      <c r="AB14">
        <f>$M$15*AB13</f>
        <v>603323.1944444445</v>
      </c>
      <c r="AC14">
        <f t="shared" ref="AC14" si="77">$M$15*AC13</f>
        <v>517257.22222222219</v>
      </c>
      <c r="AD14">
        <f t="shared" ref="AD14" si="78">$M$15*AD13</f>
        <v>412713.1944444445</v>
      </c>
      <c r="AE14">
        <f t="shared" ref="AE14" si="79">$M$15*AE13</f>
        <v>118315.55555555556</v>
      </c>
      <c r="AF14">
        <f t="shared" ref="AF14" si="80">$M$15*AF13</f>
        <v>78108.333333333328</v>
      </c>
      <c r="AG14">
        <f t="shared" ref="AG14" si="81">$M$15*AG13</f>
        <v>508667.63888888888</v>
      </c>
      <c r="AH14">
        <f t="shared" ref="AH14" si="82">$M$15*AH13</f>
        <v>9009607.6388888881</v>
      </c>
      <c r="AP14">
        <f>$M$15*AP13</f>
        <v>949390.55555555562</v>
      </c>
      <c r="AQ14">
        <f t="shared" ref="AQ14" si="83">$M$15*AQ13</f>
        <v>469339.30555555556</v>
      </c>
      <c r="AR14">
        <f t="shared" ref="AR14" si="84">$M$15*AR13</f>
        <v>479586.52777777781</v>
      </c>
      <c r="AS14">
        <f t="shared" ref="AS14" si="85">$M$15*AS13</f>
        <v>901876.11111111112</v>
      </c>
      <c r="AT14">
        <f t="shared" ref="AT14" si="86">$M$15*AT13</f>
        <v>439032.22222222219</v>
      </c>
      <c r="AU14">
        <f t="shared" ref="AU14" si="87">$M$15*AU13</f>
        <v>74904.861111111109</v>
      </c>
      <c r="AV14">
        <f t="shared" ref="AV14" si="88">$M$15*AV13</f>
        <v>14452978.750000002</v>
      </c>
    </row>
    <row r="15" spans="1:62" x14ac:dyDescent="0.35">
      <c r="L15" t="s">
        <v>32</v>
      </c>
      <c r="M15" s="16">
        <f>(35^2)/10*(1-(10/35))</f>
        <v>87.5</v>
      </c>
    </row>
    <row r="16" spans="1:62" x14ac:dyDescent="0.35">
      <c r="B16" t="s">
        <v>34</v>
      </c>
      <c r="C16" s="17">
        <f>SQRT(C14)/BD12</f>
        <v>0.10947146621487054</v>
      </c>
      <c r="D16" s="17">
        <f t="shared" ref="D16:I16" si="89">SQRT(D14)/BE12</f>
        <v>0.15192172886539346</v>
      </c>
      <c r="E16" s="17">
        <f t="shared" si="89"/>
        <v>0.13095311951267588</v>
      </c>
      <c r="F16" s="17">
        <f t="shared" si="89"/>
        <v>0.15738293936075731</v>
      </c>
      <c r="G16" s="17">
        <f t="shared" si="89"/>
        <v>0.17657894363220863</v>
      </c>
      <c r="H16" s="17">
        <f t="shared" si="89"/>
        <v>0.22789698766793456</v>
      </c>
      <c r="I16" s="17">
        <f t="shared" si="89"/>
        <v>5.2093441354391638E-2</v>
      </c>
      <c r="M16" t="s">
        <v>34</v>
      </c>
      <c r="N16" s="17">
        <f>SQRT(N14)/U12</f>
        <v>0.57656996378352732</v>
      </c>
      <c r="O16" s="17">
        <f t="shared" ref="O16:T16" si="90">SQRT(O14)/V12</f>
        <v>0.66010370033529941</v>
      </c>
      <c r="P16" s="17">
        <f t="shared" si="90"/>
        <v>0.58315089003649156</v>
      </c>
      <c r="Q16" s="17">
        <f t="shared" si="90"/>
        <v>0.56545916638805438</v>
      </c>
      <c r="R16" s="17">
        <f t="shared" si="90"/>
        <v>0.77295557275972693</v>
      </c>
      <c r="S16" s="17">
        <f t="shared" si="90"/>
        <v>0.6405216445353632</v>
      </c>
      <c r="T16" s="17">
        <f t="shared" si="90"/>
        <v>0.56752532419697355</v>
      </c>
      <c r="AB16" s="17">
        <f>SQRT(AB14)/AI12</f>
        <v>0.45569892635228015</v>
      </c>
      <c r="AC16" s="17">
        <f t="shared" ref="AC16" si="91">SQRT(AC14)/AJ12</f>
        <v>0.49159669615942952</v>
      </c>
      <c r="AD16" s="17">
        <f t="shared" ref="AD16" si="92">SQRT(AD14)/AK12</f>
        <v>0.48946863172853905</v>
      </c>
      <c r="AE16" s="17">
        <f t="shared" ref="AE16" si="93">SQRT(AE14)/AL12</f>
        <v>0.53998474561090493</v>
      </c>
      <c r="AF16" s="17">
        <f t="shared" ref="AF16" si="94">SQRT(AF14)/AM12</f>
        <v>0.44361695453573219</v>
      </c>
      <c r="AG16" s="17">
        <f t="shared" ref="AG16" si="95">SQRT(AG14)/AN12</f>
        <v>0.59409362218949024</v>
      </c>
      <c r="AH16" s="17">
        <f t="shared" ref="AH16" si="96">SQRT(AH14)/AO12</f>
        <v>0.43204042404176263</v>
      </c>
      <c r="AP16" s="17">
        <f>SQRT(AP14)/AW12</f>
        <v>0.33622040922029806</v>
      </c>
      <c r="AQ16" s="17">
        <f t="shared" ref="AQ16" si="97">SQRT(AQ14)/AX12</f>
        <v>0.35653574271736921</v>
      </c>
      <c r="AR16" s="17">
        <f t="shared" ref="AR16" si="98">SQRT(AR14)/AY12</f>
        <v>0.35269766277888442</v>
      </c>
      <c r="AS16" s="17">
        <f t="shared" ref="AS16" si="99">SQRT(AS14)/AZ12</f>
        <v>0.29621696215186122</v>
      </c>
      <c r="AT16" s="17">
        <f t="shared" ref="AT16" si="100">SQRT(AT14)/BA12</f>
        <v>0.33329731718027883</v>
      </c>
      <c r="AU16" s="17">
        <f t="shared" ref="AU16" si="101">SQRT(AU14)/BB12</f>
        <v>0.31916912487545152</v>
      </c>
      <c r="AV16" s="17">
        <f>SQRT(AV14)/BC12</f>
        <v>0.29621000792443913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4C6A-726E-4F3E-ACED-21AE035328E5}">
  <dimension ref="A1:D9"/>
  <sheetViews>
    <sheetView workbookViewId="0">
      <selection activeCell="D5" sqref="D5"/>
    </sheetView>
  </sheetViews>
  <sheetFormatPr baseColWidth="10" defaultRowHeight="14.5" x14ac:dyDescent="0.35"/>
  <cols>
    <col min="2" max="2" width="43.7265625" bestFit="1" customWidth="1"/>
    <col min="3" max="3" width="11" bestFit="1" customWidth="1"/>
    <col min="4" max="4" width="40.1796875" customWidth="1"/>
  </cols>
  <sheetData>
    <row r="1" spans="1:4" x14ac:dyDescent="0.35">
      <c r="A1" t="s">
        <v>8</v>
      </c>
      <c r="B1" t="s">
        <v>10</v>
      </c>
      <c r="C1" t="s">
        <v>9</v>
      </c>
      <c r="D1" t="s">
        <v>11</v>
      </c>
    </row>
    <row r="2" spans="1:4" x14ac:dyDescent="0.35">
      <c r="A2" t="s">
        <v>0</v>
      </c>
      <c r="B2" t="s">
        <v>12</v>
      </c>
      <c r="C2" t="s">
        <v>15</v>
      </c>
      <c r="D2" t="s">
        <v>13</v>
      </c>
    </row>
    <row r="3" spans="1:4" ht="43.5" x14ac:dyDescent="0.35">
      <c r="A3" t="s">
        <v>1</v>
      </c>
      <c r="B3" t="s">
        <v>14</v>
      </c>
      <c r="C3" t="s">
        <v>15</v>
      </c>
      <c r="D3" s="9" t="s">
        <v>16</v>
      </c>
    </row>
    <row r="4" spans="1:4" x14ac:dyDescent="0.35">
      <c r="A4" t="s">
        <v>2</v>
      </c>
      <c r="B4" t="s">
        <v>18</v>
      </c>
      <c r="C4" t="s">
        <v>17</v>
      </c>
    </row>
    <row r="5" spans="1:4" x14ac:dyDescent="0.35">
      <c r="A5" t="s">
        <v>3</v>
      </c>
      <c r="B5" t="s">
        <v>19</v>
      </c>
      <c r="C5" t="s">
        <v>17</v>
      </c>
    </row>
    <row r="6" spans="1:4" x14ac:dyDescent="0.35">
      <c r="A6" t="s">
        <v>4</v>
      </c>
      <c r="B6" t="s">
        <v>20</v>
      </c>
      <c r="C6" t="s">
        <v>17</v>
      </c>
    </row>
    <row r="7" spans="1:4" x14ac:dyDescent="0.35">
      <c r="A7" t="s">
        <v>5</v>
      </c>
      <c r="B7" t="s">
        <v>21</v>
      </c>
      <c r="C7" t="s">
        <v>17</v>
      </c>
    </row>
    <row r="8" spans="1:4" x14ac:dyDescent="0.35">
      <c r="A8" t="s">
        <v>6</v>
      </c>
      <c r="B8" t="s">
        <v>22</v>
      </c>
      <c r="C8" t="s">
        <v>17</v>
      </c>
    </row>
    <row r="9" spans="1:4" x14ac:dyDescent="0.35">
      <c r="A9" t="s">
        <v>7</v>
      </c>
      <c r="B9" t="s">
        <v>23</v>
      </c>
      <c r="C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Giovany Babativa Marquez</dc:creator>
  <cp:lastModifiedBy>Jose Giovany Babativa Marquez</cp:lastModifiedBy>
  <dcterms:created xsi:type="dcterms:W3CDTF">2026-09-28T20:10:20Z</dcterms:created>
  <dcterms:modified xsi:type="dcterms:W3CDTF">2026-10-06T22:03:20Z</dcterms:modified>
</cp:coreProperties>
</file>